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minggu" sheetId="1" state="visible" r:id="rId1"/>
    <sheet name="Gantt harian" sheetId="2" state="visible" r:id="rId2"/>
    <sheet name="Kalender" sheetId="3" state="visible" r:id="rId3"/>
    <sheet name="Ringkas per orang" sheetId="4" state="visible" r:id="rId4"/>
    <sheet name="Laporan Selasa" sheetId="5" state="visible" r:id="rId5"/>
    <sheet name="Cara unggah Sheets" sheetId="6" state="visible" r:id="rId6"/>
  </sheets>
  <definedNames>
    <definedName name="_xlnm._FilterDatabase" localSheetId="2" hidden="1">'Kalender'!$A$4:$H$53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d"/>
    <numFmt numFmtId="165" formatCode="YYYY-MM-DD"/>
    <numFmt numFmtId="166" formatCode="D MMM YYYY"/>
    <numFmt numFmtId="167" formatCode="DDDD, D MMMM YYYY"/>
  </numFmts>
  <fonts count="1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color rgb="001B365D"/>
      <sz val="10"/>
    </font>
    <font>
      <name val="Calibri"/>
      <b val="1"/>
      <color rgb="00FFFFFF"/>
      <sz val="9"/>
    </font>
    <font>
      <name val="Calibri"/>
      <color rgb="001B365D"/>
      <sz val="8"/>
    </font>
    <font>
      <name val="Calibri"/>
      <b val="1"/>
      <color rgb="001B365D"/>
      <sz val="8"/>
    </font>
    <font>
      <name val="Calibri"/>
      <b val="1"/>
      <color rgb="001B365D"/>
      <sz val="7"/>
    </font>
    <font>
      <name val="Calibri"/>
      <color rgb="001B365D"/>
      <sz val="9"/>
    </font>
    <font>
      <name val="Calibri"/>
      <b val="1"/>
      <color rgb="00FFFFFF"/>
      <sz val="8"/>
    </font>
    <font>
      <name val="Calibri"/>
      <b val="1"/>
      <color rgb="001B365D"/>
      <sz val="9"/>
    </font>
    <font>
      <name val="Calibri"/>
      <b val="1"/>
      <color rgb="00FFFFFF"/>
      <sz val="7"/>
    </font>
    <font>
      <name val="Calibri"/>
      <color rgb="001B365D"/>
      <sz val="6"/>
    </font>
    <font>
      <name val="Calibri"/>
      <b val="1"/>
      <color rgb="00FFFFFF"/>
      <sz val="6"/>
    </font>
    <font>
      <name val="Calibri"/>
      <color rgb="001B365D"/>
      <sz val="7"/>
    </font>
    <font>
      <name val="Calibri"/>
      <b val="1"/>
      <color rgb="001B365D"/>
      <sz val="10"/>
    </font>
    <font>
      <name val="Calibri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7F8FA"/>
      </patternFill>
    </fill>
    <fill>
      <patternFill patternType="solid">
        <fgColor rgb="004B5563"/>
      </patternFill>
    </fill>
    <fill>
      <patternFill patternType="solid">
        <fgColor rgb="00EA580C"/>
      </patternFill>
    </fill>
    <fill>
      <patternFill patternType="solid">
        <fgColor rgb="002563EB"/>
      </patternFill>
    </fill>
    <fill>
      <patternFill patternType="solid">
        <fgColor rgb="000079BF"/>
      </patternFill>
    </fill>
    <fill>
      <patternFill patternType="solid">
        <fgColor rgb="00FFFFFF"/>
      </patternFill>
    </fill>
    <fill>
      <patternFill patternType="solid">
        <fgColor rgb="0061BD4F"/>
      </patternFill>
    </fill>
    <fill>
      <patternFill patternType="solid">
        <fgColor rgb="00F2D600"/>
      </patternFill>
    </fill>
    <fill>
      <patternFill patternType="solid">
        <fgColor rgb="00C377E0"/>
      </patternFill>
    </fill>
    <fill>
      <patternFill patternType="solid">
        <fgColor rgb="0078350F"/>
      </patternFill>
    </fill>
    <fill>
      <patternFill patternType="solid">
        <fgColor rgb="00F59E0B"/>
      </patternFill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FDE68A"/>
      </patternFill>
    </fill>
    <fill>
      <patternFill patternType="solid">
        <fgColor rgb="001B365D"/>
        <bgColor rgb="001B365D"/>
      </patternFill>
    </fill>
    <fill>
      <patternFill patternType="solid">
        <fgColor rgb="000079BF"/>
        <bgColor rgb="000079BF"/>
      </patternFill>
    </fill>
    <fill>
      <patternFill patternType="solid">
        <fgColor rgb="00FFFFFF"/>
        <bgColor rgb="00FFFFFF"/>
      </patternFill>
    </fill>
    <fill>
      <patternFill patternType="solid">
        <fgColor rgb="00C377E0"/>
        <bgColor rgb="00C377E0"/>
      </patternFill>
    </fill>
    <fill>
      <patternFill patternType="solid">
        <fgColor rgb="00F3F4F6"/>
        <bgColor rgb="00F3F4F6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165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7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167" fontId="2" fillId="16" borderId="1" applyAlignment="1" pivotButton="0" quotePrefix="0" xfId="0">
      <alignment horizontal="left" vertical="center"/>
    </xf>
    <xf numFmtId="0" fontId="15" fillId="17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left" vertical="center"/>
    </xf>
    <xf numFmtId="165" fontId="7" fillId="15" borderId="1" applyAlignment="1" pivotButton="0" quotePrefix="0" xfId="0">
      <alignment horizontal="left" vertical="center"/>
    </xf>
    <xf numFmtId="166" fontId="7" fillId="0" borderId="1" applyAlignment="1" pivotButton="0" quotePrefix="0" xfId="0">
      <alignment horizontal="left" vertical="center"/>
    </xf>
    <xf numFmtId="167" fontId="2" fillId="16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/>
    </xf>
    <xf numFmtId="0" fontId="10" fillId="2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FDE68A"/>
        </patternFill>
      </fill>
    </dxf>
    <dxf>
      <font>
        <name val="Calibri"/>
        <b val="1"/>
        <color rgb="0078350F"/>
        <sz val="8"/>
      </font>
      <fill>
        <patternFill patternType="solid">
          <fgColor rgb="00F59E0B"/>
        </patternFill>
      </fill>
    </dxf>
    <dxf>
      <font>
        <name val="Calibri"/>
        <b val="1"/>
        <color rgb="0078350F"/>
        <sz val="8"/>
      </font>
      <fill>
        <patternFill patternType="solid">
          <fgColor rgb="00F59E0B"/>
          <bgColor rgb="00F59E0B"/>
        </patternFill>
      </fill>
    </dxf>
    <dxf>
      <fill>
        <patternFill patternType="solid">
          <fgColor rgb="00FDE68A"/>
          <b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TUMBUH UMKM — Gantt per minggu (6–12)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2" t="n"/>
    </row>
    <row r="2" ht="32" customHeight="1">
      <c r="A2" s="2" t="inlineStr">
        <is>
          <t>Tab Gantt harian dan Kalender merinci tiap tanggal. Laporan ke dosen setiap Selasa. Kolom kuning = minggu yang sedang berjalan (rumus TODAY). Warna batang: biru Daffa, hijau Hernanda, kuning Nazwa, ungu Radith.</t>
        </is>
      </c>
      <c r="B2" s="61" t="n"/>
      <c r="C2" s="61" t="n"/>
      <c r="D2" s="61" t="n"/>
      <c r="E2" s="61" t="n"/>
      <c r="F2" s="61" t="n"/>
      <c r="G2" s="61" t="n"/>
      <c r="H2" s="61" t="n"/>
      <c r="I2" s="61" t="n"/>
      <c r="J2" s="62" t="n"/>
    </row>
    <row r="3">
      <c r="A3" s="3" t="inlineStr">
        <is>
          <t>Biru Daffa · hijau Hernanda · kuning Nazwa · ungu Radith. M8 = Milestone 1. M12 = Milestone 2.</t>
        </is>
      </c>
      <c r="B3" s="61" t="n"/>
      <c r="C3" s="61" t="n"/>
      <c r="D3" s="61" t="n"/>
      <c r="E3" s="61" t="n"/>
      <c r="F3" s="61" t="n"/>
      <c r="G3" s="61" t="n"/>
      <c r="H3" s="61" t="n"/>
      <c r="I3" s="61" t="n"/>
      <c r="J3" s="62" t="n"/>
    </row>
    <row r="5">
      <c r="A5" s="4" t="inlineStr">
        <is>
          <t>Pemilik</t>
        </is>
      </c>
      <c r="B5" s="4" t="inlineStr">
        <is>
          <t>Tugas</t>
        </is>
      </c>
      <c r="C5" s="4" t="inlineStr">
        <is>
          <t>Status</t>
        </is>
      </c>
      <c r="D5" s="4" t="inlineStr">
        <is>
          <t>M6</t>
        </is>
      </c>
      <c r="E5" s="4" t="inlineStr">
        <is>
          <t>M7</t>
        </is>
      </c>
      <c r="F5" s="4" t="inlineStr">
        <is>
          <t>M8</t>
        </is>
      </c>
      <c r="G5" s="4" t="inlineStr">
        <is>
          <t>M9</t>
        </is>
      </c>
      <c r="H5" s="4" t="inlineStr">
        <is>
          <t>M10</t>
        </is>
      </c>
      <c r="I5" s="4" t="inlineStr">
        <is>
          <t>M11</t>
        </is>
      </c>
      <c r="J5" s="4" t="inlineStr">
        <is>
          <t>M12</t>
        </is>
      </c>
    </row>
    <row r="6">
      <c r="D6" s="5" t="inlineStr">
        <is>
          <t>28 Sep–4 Okt</t>
        </is>
      </c>
      <c r="E6" s="5" t="inlineStr">
        <is>
          <t>5–11 Okt</t>
        </is>
      </c>
      <c r="F6" s="5" t="inlineStr">
        <is>
          <t>12–18 Okt</t>
        </is>
      </c>
      <c r="G6" s="5" t="inlineStr">
        <is>
          <t>19–25 Okt</t>
        </is>
      </c>
      <c r="H6" s="5" t="inlineStr">
        <is>
          <t>26 Okt–1 Nov</t>
        </is>
      </c>
      <c r="I6" s="5" t="inlineStr">
        <is>
          <t>2–8 Nov</t>
        </is>
      </c>
      <c r="J6" s="5" t="inlineStr">
        <is>
          <t>9–15 Nov</t>
        </is>
      </c>
    </row>
    <row r="7" ht="28" customHeight="1">
      <c r="A7" s="6">
        <f>IF(AND(TODAY()&gt;=DATE(2026,9,28),TODAY()&lt;=DATE(2026,11,15)),"Minggu ini →","")</f>
        <v/>
      </c>
      <c r="D7" s="7">
        <f>TRIM(IF(AND(TODAY()&gt;=DATE(2026,9,28),TODAY()&lt;=DATE(2026,10,4)),"Minggu ini · ","")&amp;"")</f>
        <v/>
      </c>
      <c r="E7" s="7">
        <f>TRIM(IF(AND(TODAY()&gt;=DATE(2026,10,5),TODAY()&lt;=DATE(2026,10,11)),"Minggu ini · ","")&amp;"Laporan Selasa 6 Okt")</f>
        <v/>
      </c>
      <c r="F7" s="7">
        <f>TRIM(IF(AND(TODAY()&gt;=DATE(2026,10,12),TODAY()&lt;=DATE(2026,10,18)),"Minggu ini · ","")&amp;"Milestone 1 · Selasa 13 Okt")</f>
        <v/>
      </c>
      <c r="G7" s="7">
        <f>TRIM(IF(AND(TODAY()&gt;=DATE(2026,10,19),TODAY()&lt;=DATE(2026,10,25)),"Minggu ini · ","")&amp;"Laporan Selasa 20 Okt")</f>
        <v/>
      </c>
      <c r="H7" s="7">
        <f>TRIM(IF(AND(TODAY()&gt;=DATE(2026,10,26),TODAY()&lt;=DATE(2026,11,1)),"Minggu ini · ","")&amp;"Laporan Selasa 27 Okt")</f>
        <v/>
      </c>
      <c r="I7" s="7">
        <f>TRIM(IF(AND(TODAY()&gt;=DATE(2026,11,2),TODAY()&lt;=DATE(2026,11,8)),"Minggu ini · ","")&amp;"Laporan Selasa 3 Nov")</f>
        <v/>
      </c>
      <c r="J7" s="7">
        <f>TRIM(IF(AND(TODAY()&gt;=DATE(2026,11,9),TODAY()&lt;=DATE(2026,11,15)),"Minggu ini · ","")&amp;"Milestone 2 · Selasa 10 Nov")</f>
        <v/>
      </c>
    </row>
    <row r="8">
      <c r="A8" s="8" t="inlineStr">
        <is>
          <t>Checkpoint</t>
        </is>
      </c>
      <c r="B8" s="8" t="inlineStr">
        <is>
          <t>Laporan Selasa 6 Okt</t>
        </is>
      </c>
      <c r="C8" s="9" t="inlineStr">
        <is>
          <t>laporan</t>
        </is>
      </c>
      <c r="D8" s="9" t="n"/>
      <c r="E8" s="10" t="inlineStr">
        <is>
          <t>Selasa</t>
        </is>
      </c>
      <c r="F8" s="9" t="n"/>
      <c r="G8" s="9" t="n"/>
      <c r="H8" s="9" t="n"/>
      <c r="I8" s="9" t="n"/>
      <c r="J8" s="9" t="n"/>
    </row>
    <row r="9">
      <c r="A9" s="8" t="inlineStr">
        <is>
          <t>Checkpoint</t>
        </is>
      </c>
      <c r="B9" s="8" t="inlineStr">
        <is>
          <t>Milestone 1 demo tengah semester</t>
        </is>
      </c>
      <c r="C9" s="9" t="inlineStr">
        <is>
          <t>M1</t>
        </is>
      </c>
      <c r="D9" s="9" t="n"/>
      <c r="E9" s="9" t="n"/>
      <c r="F9" s="11" t="inlineStr">
        <is>
          <t>M1</t>
        </is>
      </c>
      <c r="G9" s="9" t="n"/>
      <c r="H9" s="9" t="n"/>
      <c r="I9" s="9" t="n"/>
      <c r="J9" s="9" t="n"/>
    </row>
    <row r="10">
      <c r="A10" s="8" t="inlineStr">
        <is>
          <t>Checkpoint</t>
        </is>
      </c>
      <c r="B10" s="8" t="inlineStr">
        <is>
          <t>Laporan Selasa 20 Okt</t>
        </is>
      </c>
      <c r="C10" s="9" t="inlineStr">
        <is>
          <t>laporan</t>
        </is>
      </c>
      <c r="D10" s="9" t="n"/>
      <c r="E10" s="9" t="n"/>
      <c r="F10" s="9" t="n"/>
      <c r="G10" s="10" t="inlineStr">
        <is>
          <t>Selasa</t>
        </is>
      </c>
      <c r="H10" s="9" t="n"/>
      <c r="I10" s="9" t="n"/>
      <c r="J10" s="9" t="n"/>
    </row>
    <row r="11">
      <c r="A11" s="8" t="inlineStr">
        <is>
          <t>Checkpoint</t>
        </is>
      </c>
      <c r="B11" s="8" t="inlineStr">
        <is>
          <t>Laporan Selasa 27 Okt</t>
        </is>
      </c>
      <c r="C11" s="9" t="inlineStr">
        <is>
          <t>laporan</t>
        </is>
      </c>
      <c r="D11" s="9" t="n"/>
      <c r="E11" s="9" t="n"/>
      <c r="F11" s="9" t="n"/>
      <c r="G11" s="9" t="n"/>
      <c r="H11" s="10" t="inlineStr">
        <is>
          <t>Selasa</t>
        </is>
      </c>
      <c r="I11" s="9" t="n"/>
      <c r="J11" s="9" t="n"/>
    </row>
    <row r="12">
      <c r="A12" s="8" t="inlineStr">
        <is>
          <t>Checkpoint</t>
        </is>
      </c>
      <c r="B12" s="8" t="inlineStr">
        <is>
          <t>Laporan Selasa 3 Nov</t>
        </is>
      </c>
      <c r="C12" s="9" t="inlineStr">
        <is>
          <t>laporan</t>
        </is>
      </c>
      <c r="D12" s="9" t="n"/>
      <c r="E12" s="9" t="n"/>
      <c r="F12" s="9" t="n"/>
      <c r="G12" s="9" t="n"/>
      <c r="H12" s="9" t="n"/>
      <c r="I12" s="10" t="inlineStr">
        <is>
          <t>Selasa</t>
        </is>
      </c>
      <c r="J12" s="9" t="n"/>
    </row>
    <row r="13">
      <c r="A13" s="8" t="inlineStr">
        <is>
          <t>Checkpoint</t>
        </is>
      </c>
      <c r="B13" s="8" t="inlineStr">
        <is>
          <t>Milestone 2 produk fungsional + uji</t>
        </is>
      </c>
      <c r="C13" s="9" t="inlineStr">
        <is>
          <t>M2</t>
        </is>
      </c>
      <c r="D13" s="9" t="n"/>
      <c r="E13" s="9" t="n"/>
      <c r="F13" s="9" t="n"/>
      <c r="G13" s="9" t="n"/>
      <c r="H13" s="9" t="n"/>
      <c r="I13" s="9" t="n"/>
      <c r="J13" s="12" t="inlineStr">
        <is>
          <t>M2</t>
        </is>
      </c>
    </row>
    <row r="14">
      <c r="A14" s="13" t="inlineStr">
        <is>
          <t>Daffa</t>
        </is>
      </c>
      <c r="B14" s="8" t="inlineStr">
        <is>
          <t>File 1 users + File 4 social_accounts</t>
        </is>
      </c>
      <c r="C14" s="9" t="inlineStr">
        <is>
          <t>proses</t>
        </is>
      </c>
      <c r="D14" s="14" t="inlineStr">
        <is>
          <t>x</t>
        </is>
      </c>
      <c r="E14" s="5" t="n"/>
      <c r="F14" s="5" t="n"/>
      <c r="G14" s="5" t="n"/>
      <c r="H14" s="5" t="n"/>
      <c r="I14" s="5" t="n"/>
      <c r="J14" s="5" t="n"/>
    </row>
    <row r="15">
      <c r="A15" s="13" t="inlineStr">
        <is>
          <t>Daffa</t>
        </is>
      </c>
      <c r="B15" s="8" t="inlineStr">
        <is>
          <t>UC-01 login + middleware 3 peran</t>
        </is>
      </c>
      <c r="C15" s="9" t="inlineStr">
        <is>
          <t>kritis</t>
        </is>
      </c>
      <c r="D15" s="15" t="n"/>
      <c r="E15" s="14" t="inlineStr">
        <is>
          <t>x</t>
        </is>
      </c>
      <c r="F15" s="15" t="n"/>
      <c r="G15" s="15" t="n"/>
      <c r="H15" s="15" t="n"/>
      <c r="I15" s="15" t="n"/>
      <c r="J15" s="15" t="n"/>
    </row>
    <row r="16">
      <c r="A16" s="13" t="inlineStr">
        <is>
          <t>Daffa</t>
        </is>
      </c>
      <c r="B16" s="8" t="inlineStr">
        <is>
          <t>UC-03 profil akun + siapkan File 13/14</t>
        </is>
      </c>
      <c r="C16" s="9" t="inlineStr">
        <is>
          <t>rencana</t>
        </is>
      </c>
      <c r="D16" s="5" t="n"/>
      <c r="E16" s="14" t="inlineStr">
        <is>
          <t>x</t>
        </is>
      </c>
      <c r="F16" s="5" t="n"/>
      <c r="G16" s="5" t="n"/>
      <c r="H16" s="5" t="n"/>
      <c r="I16" s="5" t="n"/>
      <c r="J16" s="5" t="n"/>
    </row>
    <row r="17">
      <c r="A17" s="13" t="inlineStr">
        <is>
          <t>Daffa</t>
        </is>
      </c>
      <c r="B17" s="8" t="inlineStr">
        <is>
          <t>UC-02 registrasi + proteksi route</t>
        </is>
      </c>
      <c r="C17" s="9" t="inlineStr">
        <is>
          <t>rencana</t>
        </is>
      </c>
      <c r="D17" s="15" t="n"/>
      <c r="E17" s="15" t="n"/>
      <c r="F17" s="14" t="inlineStr">
        <is>
          <t>x</t>
        </is>
      </c>
      <c r="G17" s="15" t="n"/>
      <c r="H17" s="15" t="n"/>
      <c r="I17" s="15" t="n"/>
      <c r="J17" s="15" t="n"/>
    </row>
    <row r="18">
      <c r="A18" s="13" t="inlineStr">
        <is>
          <t>Daffa</t>
        </is>
      </c>
      <c r="B18" s="8" t="inlineStr">
        <is>
          <t>UC-07 skor + UC-09a generate rekomendasi</t>
        </is>
      </c>
      <c r="C18" s="9" t="inlineStr">
        <is>
          <t>kritis</t>
        </is>
      </c>
      <c r="D18" s="5" t="n"/>
      <c r="E18" s="5" t="n"/>
      <c r="F18" s="5" t="n"/>
      <c r="G18" s="14" t="inlineStr">
        <is>
          <t>x</t>
        </is>
      </c>
      <c r="H18" s="5" t="n"/>
      <c r="I18" s="5" t="n"/>
      <c r="J18" s="5" t="n"/>
    </row>
    <row r="19">
      <c r="A19" s="13" t="inlineStr">
        <is>
          <t>Daffa</t>
        </is>
      </c>
      <c r="B19" s="8" t="inlineStr">
        <is>
          <t>Shell menu 3 peran</t>
        </is>
      </c>
      <c r="C19" s="9" t="inlineStr">
        <is>
          <t>rencana</t>
        </is>
      </c>
      <c r="D19" s="83" t="inlineStr">
        <is>
          <t>x</t>
        </is>
      </c>
      <c r="E19" s="83" t="inlineStr">
        <is>
          <t>x</t>
        </is>
      </c>
      <c r="F19" s="15" t="n"/>
      <c r="G19" s="15" t="n"/>
      <c r="H19" s="84" t="n"/>
      <c r="I19" s="15" t="n"/>
      <c r="J19" s="15" t="n"/>
    </row>
    <row r="20">
      <c r="A20" s="13" t="inlineStr">
        <is>
          <t>Daffa</t>
        </is>
      </c>
      <c r="B20" s="8" t="inlineStr">
        <is>
          <t>Perbaiki auth dan scoring</t>
        </is>
      </c>
      <c r="C20" s="9" t="inlineStr">
        <is>
          <t>rencana</t>
        </is>
      </c>
      <c r="D20" s="5" t="n"/>
      <c r="E20" s="5" t="n"/>
      <c r="F20" s="5" t="n"/>
      <c r="G20" s="5" t="n"/>
      <c r="H20" s="5" t="n"/>
      <c r="I20" s="14" t="inlineStr">
        <is>
          <t>x</t>
        </is>
      </c>
      <c r="J20" s="5" t="n"/>
    </row>
    <row r="21">
      <c r="A21" s="13" t="inlineStr">
        <is>
          <t>Daffa</t>
        </is>
      </c>
      <c r="B21" s="8" t="inlineStr">
        <is>
          <t>Tes Pest alur inti</t>
        </is>
      </c>
      <c r="C21" s="9" t="inlineStr">
        <is>
          <t>kritis</t>
        </is>
      </c>
      <c r="D21" s="15" t="n"/>
      <c r="E21" s="15" t="n"/>
      <c r="F21" s="15" t="n"/>
      <c r="G21" s="15" t="n"/>
      <c r="H21" s="15" t="n"/>
      <c r="I21" s="15" t="n"/>
      <c r="J21" s="14" t="inlineStr">
        <is>
          <t>x</t>
        </is>
      </c>
    </row>
    <row r="22">
      <c r="A22" s="13" t="inlineStr">
        <is>
          <t>Hernanda</t>
        </is>
      </c>
      <c r="B22" s="8" t="inlineStr">
        <is>
          <t>File 3 jenis usaha + seeder</t>
        </is>
      </c>
      <c r="C22" s="9" t="inlineStr">
        <is>
          <t>selesai</t>
        </is>
      </c>
      <c r="D22" s="16" t="inlineStr">
        <is>
          <t>x</t>
        </is>
      </c>
      <c r="E22" s="5" t="n"/>
      <c r="F22" s="5" t="n"/>
      <c r="G22" s="5" t="n"/>
      <c r="H22" s="5" t="n"/>
      <c r="I22" s="5" t="n"/>
      <c r="J22" s="5" t="n"/>
    </row>
    <row r="23">
      <c r="A23" s="13" t="inlineStr">
        <is>
          <t>Hernanda</t>
        </is>
      </c>
      <c r="B23" s="8" t="inlineStr">
        <is>
          <t>File 5 businesses (nunggu File 1)</t>
        </is>
      </c>
      <c r="C23" s="9" t="inlineStr">
        <is>
          <t>rencana</t>
        </is>
      </c>
      <c r="D23" s="16" t="inlineStr">
        <is>
          <t>x</t>
        </is>
      </c>
      <c r="E23" s="16" t="inlineStr">
        <is>
          <t>x</t>
        </is>
      </c>
      <c r="F23" s="15" t="n"/>
      <c r="G23" s="15" t="n"/>
      <c r="H23" s="15" t="n"/>
      <c r="I23" s="15" t="n"/>
      <c r="J23" s="15" t="n"/>
    </row>
    <row r="24">
      <c r="A24" s="13" t="inlineStr">
        <is>
          <t>Hernanda</t>
        </is>
      </c>
      <c r="B24" s="8" t="inlineStr">
        <is>
          <t>File 8 produk + File 9 asesmen</t>
        </is>
      </c>
      <c r="C24" s="9" t="inlineStr">
        <is>
          <t>rencana</t>
        </is>
      </c>
      <c r="D24" s="5" t="n"/>
      <c r="E24" s="16" t="inlineStr">
        <is>
          <t>x</t>
        </is>
      </c>
      <c r="F24" s="5" t="n"/>
      <c r="G24" s="5" t="n"/>
      <c r="H24" s="5" t="n"/>
      <c r="I24" s="5" t="n"/>
      <c r="J24" s="5" t="n"/>
    </row>
    <row r="25">
      <c r="A25" s="13" t="inlineStr">
        <is>
          <t>Hernanda</t>
        </is>
      </c>
      <c r="B25" s="8" t="inlineStr">
        <is>
          <t>UC-04a draf simpan profil</t>
        </is>
      </c>
      <c r="C25" s="9" t="inlineStr">
        <is>
          <t>rencana</t>
        </is>
      </c>
      <c r="D25" s="15" t="n"/>
      <c r="E25" s="16" t="inlineStr">
        <is>
          <t>x</t>
        </is>
      </c>
      <c r="F25" s="15" t="n"/>
      <c r="G25" s="15" t="n"/>
      <c r="H25" s="15" t="n"/>
      <c r="I25" s="15" t="n"/>
      <c r="J25" s="15" t="n"/>
    </row>
    <row r="26">
      <c r="A26" s="13" t="inlineStr">
        <is>
          <t>Hernanda</t>
        </is>
      </c>
      <c r="B26" s="8" t="inlineStr">
        <is>
          <t>UC-04a/b profil + UC-05a produk + badge</t>
        </is>
      </c>
      <c r="C26" s="9" t="inlineStr">
        <is>
          <t>kritis</t>
        </is>
      </c>
      <c r="D26" s="5" t="n"/>
      <c r="E26" s="5" t="n"/>
      <c r="F26" s="16" t="inlineStr">
        <is>
          <t>x</t>
        </is>
      </c>
      <c r="G26" s="5" t="n"/>
      <c r="H26" s="5" t="n"/>
      <c r="I26" s="5" t="n"/>
      <c r="J26" s="5" t="n"/>
    </row>
    <row r="27">
      <c r="A27" s="13" t="inlineStr">
        <is>
          <t>Hernanda</t>
        </is>
      </c>
      <c r="B27" s="8" t="inlineStr">
        <is>
          <t>UC-05b kuesioner simpan jawaban</t>
        </is>
      </c>
      <c r="C27" s="9" t="inlineStr">
        <is>
          <t>kritis</t>
        </is>
      </c>
      <c r="D27" s="15" t="n"/>
      <c r="E27" s="15" t="n"/>
      <c r="F27" s="15" t="n"/>
      <c r="G27" s="16" t="inlineStr">
        <is>
          <t>x</t>
        </is>
      </c>
      <c r="H27" s="15" t="n"/>
      <c r="I27" s="15" t="n"/>
      <c r="J27" s="15" t="n"/>
    </row>
    <row r="28">
      <c r="A28" s="13" t="inlineStr">
        <is>
          <t>Hernanda</t>
        </is>
      </c>
      <c r="B28" s="8" t="inlineStr">
        <is>
          <t>UC-09b rekomendasi sendiri + dashboard UMKM</t>
        </is>
      </c>
      <c r="C28" s="9" t="inlineStr">
        <is>
          <t>rencana</t>
        </is>
      </c>
      <c r="D28" s="5" t="n"/>
      <c r="E28" s="5" t="n"/>
      <c r="F28" s="5" t="n"/>
      <c r="G28" s="5" t="n"/>
      <c r="H28" s="16" t="inlineStr">
        <is>
          <t>x</t>
        </is>
      </c>
      <c r="I28" s="5" t="n"/>
      <c r="J28" s="5" t="n"/>
    </row>
    <row r="29">
      <c r="A29" s="13" t="inlineStr">
        <is>
          <t>Hernanda</t>
        </is>
      </c>
      <c r="B29" s="8" t="inlineStr">
        <is>
          <t>Rapikan form pelaku, tidak bocor data</t>
        </is>
      </c>
      <c r="C29" s="9" t="inlineStr">
        <is>
          <t>rencana</t>
        </is>
      </c>
      <c r="D29" s="15" t="n"/>
      <c r="E29" s="15" t="n"/>
      <c r="F29" s="15" t="n"/>
      <c r="G29" s="15" t="n"/>
      <c r="H29" s="15" t="n"/>
      <c r="I29" s="16" t="inlineStr">
        <is>
          <t>x</t>
        </is>
      </c>
      <c r="J29" s="16" t="inlineStr">
        <is>
          <t>x</t>
        </is>
      </c>
    </row>
    <row r="30">
      <c r="A30" s="13" t="inlineStr">
        <is>
          <t>Nazwa</t>
        </is>
      </c>
      <c r="B30" s="8" t="inlineStr">
        <is>
          <t>File 2 kategori + seeder 5 kategori</t>
        </is>
      </c>
      <c r="C30" s="9" t="inlineStr">
        <is>
          <t>rencana</t>
        </is>
      </c>
      <c r="D30" s="17" t="inlineStr">
        <is>
          <t>x</t>
        </is>
      </c>
      <c r="E30" s="5" t="n"/>
      <c r="F30" s="5" t="n"/>
      <c r="G30" s="5" t="n"/>
      <c r="H30" s="5" t="n"/>
      <c r="I30" s="5" t="n"/>
      <c r="J30" s="5" t="n"/>
    </row>
    <row r="31">
      <c r="A31" s="13" t="inlineStr">
        <is>
          <t>Nazwa</t>
        </is>
      </c>
      <c r="B31" s="8" t="inlineStr">
        <is>
          <t>UC-05c CRUD + File 6 soal + File 7 program</t>
        </is>
      </c>
      <c r="C31" s="9" t="inlineStr">
        <is>
          <t>rencana</t>
        </is>
      </c>
      <c r="D31" s="15" t="n"/>
      <c r="E31" s="17" t="inlineStr">
        <is>
          <t>x</t>
        </is>
      </c>
      <c r="F31" s="15" t="n"/>
      <c r="G31" s="15" t="n"/>
      <c r="H31" s="15" t="n"/>
      <c r="I31" s="15" t="n"/>
      <c r="J31" s="15" t="n"/>
    </row>
    <row r="32">
      <c r="A32" s="13" t="inlineStr">
        <is>
          <t>Nazwa</t>
        </is>
      </c>
      <c r="B32" s="8" t="inlineStr">
        <is>
          <t>File 10 opsi + seeder Likert</t>
        </is>
      </c>
      <c r="C32" s="9" t="inlineStr">
        <is>
          <t>rencana</t>
        </is>
      </c>
      <c r="D32" s="5" t="n"/>
      <c r="E32" s="17" t="inlineStr">
        <is>
          <t>x</t>
        </is>
      </c>
      <c r="F32" s="5" t="n"/>
      <c r="G32" s="5" t="n"/>
      <c r="H32" s="5" t="n"/>
      <c r="I32" s="5" t="n"/>
      <c r="J32" s="5" t="n"/>
    </row>
    <row r="33">
      <c r="A33" s="13" t="inlineStr">
        <is>
          <t>Nazwa</t>
        </is>
      </c>
      <c r="B33" s="8" t="inlineStr">
        <is>
          <t>UC-04c master UMKM + bank soal + UC-08</t>
        </is>
      </c>
      <c r="C33" s="9" t="inlineStr">
        <is>
          <t>rencana</t>
        </is>
      </c>
      <c r="D33" s="15" t="n"/>
      <c r="E33" s="15" t="n"/>
      <c r="F33" s="17" t="inlineStr">
        <is>
          <t>x</t>
        </is>
      </c>
      <c r="G33" s="15" t="n"/>
      <c r="H33" s="15" t="n"/>
      <c r="I33" s="15" t="n"/>
      <c r="J33" s="15" t="n"/>
    </row>
    <row r="34">
      <c r="A34" s="13" t="inlineStr">
        <is>
          <t>Nazwa</t>
        </is>
      </c>
      <c r="B34" s="8" t="inlineStr">
        <is>
          <t>UC-06 verifikasi data mandiri</t>
        </is>
      </c>
      <c r="C34" s="9" t="inlineStr">
        <is>
          <t>rencana</t>
        </is>
      </c>
      <c r="D34" s="5" t="n"/>
      <c r="E34" s="5" t="n"/>
      <c r="F34" s="5" t="n"/>
      <c r="G34" s="17" t="inlineStr">
        <is>
          <t>x</t>
        </is>
      </c>
      <c r="H34" s="5" t="n"/>
      <c r="I34" s="5" t="n"/>
      <c r="J34" s="5" t="n"/>
    </row>
    <row r="35">
      <c r="A35" s="13" t="inlineStr">
        <is>
          <t>Nazwa</t>
        </is>
      </c>
      <c r="B35" s="8" t="inlineStr">
        <is>
          <t>UC-09c rekomendasi semua + UC-14b laporan</t>
        </is>
      </c>
      <c r="C35" s="9" t="inlineStr">
        <is>
          <t>rencana</t>
        </is>
      </c>
      <c r="D35" s="15" t="n"/>
      <c r="E35" s="15" t="n"/>
      <c r="F35" s="15" t="n"/>
      <c r="G35" s="15" t="n"/>
      <c r="H35" s="17" t="inlineStr">
        <is>
          <t>x</t>
        </is>
      </c>
      <c r="I35" s="15" t="n"/>
      <c r="J35" s="15" t="n"/>
    </row>
    <row r="36">
      <c r="A36" s="13" t="inlineStr">
        <is>
          <t>Nazwa</t>
        </is>
      </c>
      <c r="B36" s="8" t="inlineStr">
        <is>
          <t>UC-15 ekspor PDF/Excel</t>
        </is>
      </c>
      <c r="C36" s="9" t="inlineStr">
        <is>
          <t>rencana</t>
        </is>
      </c>
      <c r="D36" s="5" t="n"/>
      <c r="E36" s="5" t="n"/>
      <c r="F36" s="5" t="n"/>
      <c r="G36" s="5" t="n"/>
      <c r="H36" s="5" t="n"/>
      <c r="I36" s="17" t="inlineStr">
        <is>
          <t>x</t>
        </is>
      </c>
      <c r="J36" s="17" t="inlineStr">
        <is>
          <t>x</t>
        </is>
      </c>
    </row>
    <row r="37">
      <c r="A37" s="13" t="inlineStr">
        <is>
          <t>Radith</t>
        </is>
      </c>
      <c r="B37" s="8" t="inlineStr">
        <is>
          <t>UC-13 dashboard petugas data nyata</t>
        </is>
      </c>
      <c r="C37" s="9" t="inlineStr">
        <is>
          <t>rencana</t>
        </is>
      </c>
      <c r="D37" s="84" t="n"/>
      <c r="E37" s="15" t="n"/>
      <c r="F37" s="15" t="n"/>
      <c r="G37" s="15" t="n"/>
      <c r="H37" s="85" t="inlineStr">
        <is>
          <t>x</t>
        </is>
      </c>
      <c r="I37" s="15" t="n"/>
      <c r="J37" s="15" t="n"/>
    </row>
    <row r="38">
      <c r="A38" s="13" t="inlineStr">
        <is>
          <t>Radith</t>
        </is>
      </c>
      <c r="B38" s="8" t="inlineStr">
        <is>
          <t>File 11 pivot program–kategori</t>
        </is>
      </c>
      <c r="C38" s="9" t="inlineStr">
        <is>
          <t>rencana</t>
        </is>
      </c>
      <c r="D38" s="5" t="n"/>
      <c r="E38" s="18" t="inlineStr">
        <is>
          <t>x</t>
        </is>
      </c>
      <c r="F38" s="5" t="n"/>
      <c r="G38" s="5" t="n"/>
      <c r="H38" s="5" t="n"/>
      <c r="I38" s="5" t="n"/>
      <c r="J38" s="5" t="n"/>
    </row>
    <row r="39">
      <c r="A39" s="13" t="inlineStr">
        <is>
          <t>Radith</t>
        </is>
      </c>
      <c r="B39" s="8" t="inlineStr">
        <is>
          <t>File 12 assessment_answers</t>
        </is>
      </c>
      <c r="C39" s="9" t="inlineStr">
        <is>
          <t>rencana</t>
        </is>
      </c>
      <c r="D39" s="15" t="n"/>
      <c r="E39" s="18" t="inlineStr">
        <is>
          <t>x</t>
        </is>
      </c>
      <c r="F39" s="15" t="n"/>
      <c r="G39" s="15" t="n"/>
      <c r="H39" s="15" t="n"/>
      <c r="I39" s="15" t="n"/>
      <c r="J39" s="15" t="n"/>
    </row>
    <row r="40">
      <c r="A40" s="13" t="inlineStr">
        <is>
          <t>Radith</t>
        </is>
      </c>
      <c r="B40" s="8" t="inlineStr">
        <is>
          <t>UC-14a dashboard pimpinan UI</t>
        </is>
      </c>
      <c r="C40" s="9" t="inlineStr">
        <is>
          <t>rencana</t>
        </is>
      </c>
      <c r="D40" s="5" t="n"/>
      <c r="E40" s="5" t="n"/>
      <c r="F40" s="18" t="inlineStr">
        <is>
          <t>x</t>
        </is>
      </c>
      <c r="G40" s="5" t="n"/>
      <c r="H40" s="5" t="n"/>
      <c r="I40" s="5" t="n"/>
      <c r="J40" s="5" t="n"/>
    </row>
    <row r="41">
      <c r="A41" s="13" t="inlineStr">
        <is>
          <t>Radith</t>
        </is>
      </c>
      <c r="B41" s="8" t="inlineStr">
        <is>
          <t>File 16 coaching + UI UC-10</t>
        </is>
      </c>
      <c r="C41" s="9" t="inlineStr">
        <is>
          <t>rencana</t>
        </is>
      </c>
      <c r="D41" s="15" t="n"/>
      <c r="E41" s="15" t="n"/>
      <c r="F41" s="15" t="n"/>
      <c r="G41" s="18" t="inlineStr">
        <is>
          <t>x</t>
        </is>
      </c>
      <c r="H41" s="15" t="n"/>
      <c r="I41" s="15" t="n"/>
      <c r="J41" s="15" t="n"/>
    </row>
    <row r="42">
      <c r="A42" s="13" t="inlineStr">
        <is>
          <t>Radith</t>
        </is>
      </c>
      <c r="B42" s="8" t="inlineStr">
        <is>
          <t>UC-10 ajukan + UC-11 setujui/tolak</t>
        </is>
      </c>
      <c r="C42" s="9" t="inlineStr">
        <is>
          <t>kritis</t>
        </is>
      </c>
      <c r="D42" s="5" t="n"/>
      <c r="E42" s="5" t="n"/>
      <c r="F42" s="5" t="n"/>
      <c r="G42" s="5" t="n"/>
      <c r="H42" s="18" t="inlineStr">
        <is>
          <t>x</t>
        </is>
      </c>
      <c r="I42" s="5" t="n"/>
      <c r="J42" s="5" t="n"/>
    </row>
    <row r="43">
      <c r="A43" s="13" t="inlineStr">
        <is>
          <t>Radith</t>
        </is>
      </c>
      <c r="B43" s="8" t="inlineStr">
        <is>
          <t>UC-12 pembinaan + monitoring + riwayat</t>
        </is>
      </c>
      <c r="C43" s="9" t="inlineStr">
        <is>
          <t>rencana</t>
        </is>
      </c>
      <c r="D43" s="15" t="n"/>
      <c r="E43" s="15" t="n"/>
      <c r="F43" s="15" t="n"/>
      <c r="G43" s="15" t="n"/>
      <c r="H43" s="15" t="n"/>
      <c r="I43" s="18" t="inlineStr">
        <is>
          <t>x</t>
        </is>
      </c>
      <c r="J43" s="15" t="n"/>
    </row>
    <row r="44">
      <c r="A44" s="13" t="inlineStr">
        <is>
          <t>Radith</t>
        </is>
      </c>
      <c r="B44" s="8" t="inlineStr">
        <is>
          <t>Dashboard pimpinan data nyata</t>
        </is>
      </c>
      <c r="C44" s="9" t="inlineStr">
        <is>
          <t>rencana</t>
        </is>
      </c>
      <c r="D44" s="5" t="n"/>
      <c r="E44" s="5" t="n"/>
      <c r="F44" s="5" t="n"/>
      <c r="G44" s="5" t="n"/>
      <c r="H44" s="5" t="n"/>
      <c r="I44" s="5" t="n"/>
      <c r="J44" s="18" t="inlineStr">
        <is>
          <t>x</t>
        </is>
      </c>
    </row>
  </sheetData>
  <mergeCells count="3">
    <mergeCell ref="A1:J1"/>
    <mergeCell ref="A3:J3"/>
    <mergeCell ref="A2:J2"/>
  </mergeCells>
  <conditionalFormatting sqref="D5:D7">
    <cfRule type="expression" priority="1" dxfId="0">
      <formula>AND(TODAY()&gt;=DATE(2026,9,28),TODAY()&lt;=DATE(2026,10,4))</formula>
    </cfRule>
  </conditionalFormatting>
  <conditionalFormatting sqref="E5:E7">
    <cfRule type="expression" priority="2" dxfId="0">
      <formula>AND(TODAY()&gt;=DATE(2026,10,5),TODAY()&lt;=DATE(2026,10,11))</formula>
    </cfRule>
  </conditionalFormatting>
  <conditionalFormatting sqref="F5:F7">
    <cfRule type="expression" priority="3" dxfId="0">
      <formula>AND(TODAY()&gt;=DATE(2026,10,12),TODAY()&lt;=DATE(2026,10,18))</formula>
    </cfRule>
  </conditionalFormatting>
  <conditionalFormatting sqref="G5:G7">
    <cfRule type="expression" priority="4" dxfId="0">
      <formula>AND(TODAY()&gt;=DATE(2026,10,19),TODAY()&lt;=DATE(2026,10,25))</formula>
    </cfRule>
  </conditionalFormatting>
  <conditionalFormatting sqref="H5:H7">
    <cfRule type="expression" priority="5" dxfId="0">
      <formula>AND(TODAY()&gt;=DATE(2026,10,26),TODAY()&lt;=DATE(2026,11,1))</formula>
    </cfRule>
  </conditionalFormatting>
  <conditionalFormatting sqref="I5:I7">
    <cfRule type="expression" priority="6" dxfId="0">
      <formula>AND(TODAY()&gt;=DATE(2026,11,2),TODAY()&lt;=DATE(2026,11,8))</formula>
    </cfRule>
  </conditionalFormatting>
  <conditionalFormatting sqref="J5:J7">
    <cfRule type="expression" priority="7" dxfId="0">
      <formula>AND(TODAY()&gt;=DATE(2026,11,9),TODAY()&lt;=DATE(2026,11,15))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0"/>
  <sheetViews>
    <sheetView zoomScale="90"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10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  <col width="3.4" customWidth="1" min="49" max="49"/>
    <col width="3.4" customWidth="1" min="50" max="50"/>
    <col width="3.4" customWidth="1" min="51" max="51"/>
    <col width="3.4" customWidth="1" min="52" max="52"/>
  </cols>
  <sheetData>
    <row r="1" ht="22" customHeight="1">
      <c r="A1" s="1" t="inlineStr">
        <is>
          <t>Gantt per tanggal — 28 Sep s.d. 15 Nov 2026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Z1" s="61" t="n"/>
      <c r="AA1" s="61" t="n"/>
      <c r="AB1" s="61" t="n"/>
      <c r="AC1" s="61" t="n"/>
      <c r="AD1" s="61" t="n"/>
      <c r="AE1" s="61" t="n"/>
      <c r="AF1" s="61" t="n"/>
      <c r="AG1" s="61" t="n"/>
      <c r="AH1" s="61" t="n"/>
      <c r="AI1" s="61" t="n"/>
      <c r="AJ1" s="61" t="n"/>
      <c r="AK1" s="61" t="n"/>
      <c r="AL1" s="61" t="n"/>
      <c r="AM1" s="61" t="n"/>
      <c r="AN1" s="61" t="n"/>
      <c r="AO1" s="61" t="n"/>
      <c r="AP1" s="61" t="n"/>
      <c r="AQ1" s="61" t="n"/>
      <c r="AR1" s="61" t="n"/>
      <c r="AS1" s="61" t="n"/>
      <c r="AT1" s="61" t="n"/>
      <c r="AU1" s="61" t="n"/>
      <c r="AV1" s="61" t="n"/>
      <c r="AW1" s="61" t="n"/>
      <c r="AX1" s="61" t="n"/>
      <c r="AY1" s="61" t="n"/>
      <c r="AZ1" s="62" t="n"/>
    </row>
    <row r="2" ht="32" customHeight="1">
      <c r="A2" s="2" t="inlineStr">
        <is>
          <t>Kolom = 1 hari. Abu-abu = Sabtu/Minggu. Kuning = hari ini (rumus TODAY, pindah sendiri di Excel/Sheets). Kolom Selasa bertanda laporan/M1/M2. Warna batang anggota tidak diubah.</t>
        </is>
      </c>
      <c r="B2" s="61" t="n"/>
      <c r="C2" s="61" t="n"/>
      <c r="D2" s="61" t="n"/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Z2" s="61" t="n"/>
      <c r="AA2" s="61" t="n"/>
      <c r="AB2" s="61" t="n"/>
      <c r="AC2" s="61" t="n"/>
      <c r="AD2" s="61" t="n"/>
      <c r="AE2" s="61" t="n"/>
      <c r="AF2" s="61" t="n"/>
      <c r="AG2" s="61" t="n"/>
      <c r="AH2" s="61" t="n"/>
      <c r="AI2" s="61" t="n"/>
      <c r="AJ2" s="61" t="n"/>
      <c r="AK2" s="61" t="n"/>
      <c r="AL2" s="61" t="n"/>
      <c r="AM2" s="61" t="n"/>
      <c r="AN2" s="61" t="n"/>
      <c r="AO2" s="61" t="n"/>
      <c r="AP2" s="61" t="n"/>
      <c r="AQ2" s="61" t="n"/>
      <c r="AR2" s="61" t="n"/>
      <c r="AS2" s="61" t="n"/>
      <c r="AT2" s="61" t="n"/>
      <c r="AU2" s="61" t="n"/>
      <c r="AV2" s="61" t="n"/>
      <c r="AW2" s="61" t="n"/>
      <c r="AX2" s="61" t="n"/>
      <c r="AY2" s="61" t="n"/>
      <c r="AZ2" s="62" t="n"/>
    </row>
    <row r="4">
      <c r="A4" s="19" t="inlineStr">
        <is>
          <t>Bulan</t>
        </is>
      </c>
      <c r="B4" s="61" t="n"/>
      <c r="C4" s="62" t="n"/>
      <c r="D4" s="20" t="inlineStr">
        <is>
          <t>Sep</t>
        </is>
      </c>
      <c r="E4" s="61" t="n"/>
      <c r="F4" s="62" t="n"/>
      <c r="G4" s="72" t="inlineStr">
        <is>
          <t>Okt</t>
        </is>
      </c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  <c r="AC4" s="61" t="n"/>
      <c r="AD4" s="61" t="n"/>
      <c r="AE4" s="61" t="n"/>
      <c r="AF4" s="61" t="n"/>
      <c r="AG4" s="61" t="n"/>
      <c r="AH4" s="61" t="n"/>
      <c r="AI4" s="61" t="n"/>
      <c r="AJ4" s="61" t="n"/>
      <c r="AK4" s="62" t="n"/>
      <c r="AL4" s="22" t="inlineStr">
        <is>
          <t>Nov</t>
        </is>
      </c>
      <c r="AM4" s="61" t="n"/>
      <c r="AN4" s="61" t="n"/>
      <c r="AO4" s="61" t="n"/>
      <c r="AP4" s="61" t="n"/>
      <c r="AQ4" s="61" t="n"/>
      <c r="AR4" s="61" t="n"/>
      <c r="AS4" s="61" t="n"/>
      <c r="AT4" s="61" t="n"/>
      <c r="AU4" s="61" t="n"/>
      <c r="AV4" s="61" t="n"/>
      <c r="AW4" s="61" t="n"/>
      <c r="AX4" s="61" t="n"/>
      <c r="AY4" s="61" t="n"/>
      <c r="AZ4" s="62" t="n"/>
    </row>
    <row r="5">
      <c r="A5" s="19" t="inlineStr">
        <is>
          <t>Minggu</t>
        </is>
      </c>
      <c r="B5" s="61" t="n"/>
      <c r="C5" s="62" t="n"/>
      <c r="D5" s="23" t="inlineStr">
        <is>
          <t>M6</t>
        </is>
      </c>
      <c r="E5" s="61" t="n"/>
      <c r="F5" s="61" t="n"/>
      <c r="G5" s="61" t="n"/>
      <c r="H5" s="61" t="n"/>
      <c r="I5" s="61" t="n"/>
      <c r="J5" s="62" t="n"/>
      <c r="K5" s="23" t="inlineStr">
        <is>
          <t>M7</t>
        </is>
      </c>
      <c r="L5" s="61" t="n"/>
      <c r="M5" s="61" t="n"/>
      <c r="N5" s="61" t="n"/>
      <c r="O5" s="61" t="n"/>
      <c r="P5" s="61" t="n"/>
      <c r="Q5" s="62" t="n"/>
      <c r="R5" s="23" t="inlineStr">
        <is>
          <t>M8</t>
        </is>
      </c>
      <c r="S5" s="61" t="n"/>
      <c r="T5" s="61" t="n"/>
      <c r="U5" s="61" t="n"/>
      <c r="V5" s="61" t="n"/>
      <c r="W5" s="61" t="n"/>
      <c r="X5" s="62" t="n"/>
      <c r="Y5" s="23" t="inlineStr">
        <is>
          <t>M9</t>
        </is>
      </c>
      <c r="Z5" s="61" t="n"/>
      <c r="AA5" s="61" t="n"/>
      <c r="AB5" s="61" t="n"/>
      <c r="AC5" s="61" t="n"/>
      <c r="AD5" s="61" t="n"/>
      <c r="AE5" s="62" t="n"/>
      <c r="AF5" s="23" t="inlineStr">
        <is>
          <t>M10</t>
        </is>
      </c>
      <c r="AG5" s="61" t="n"/>
      <c r="AH5" s="61" t="n"/>
      <c r="AI5" s="61" t="n"/>
      <c r="AJ5" s="61" t="n"/>
      <c r="AK5" s="61" t="n"/>
      <c r="AL5" s="62" t="n"/>
      <c r="AM5" s="23" t="inlineStr">
        <is>
          <t>M11</t>
        </is>
      </c>
      <c r="AN5" s="61" t="n"/>
      <c r="AO5" s="61" t="n"/>
      <c r="AP5" s="61" t="n"/>
      <c r="AQ5" s="61" t="n"/>
      <c r="AR5" s="61" t="n"/>
      <c r="AS5" s="62" t="n"/>
      <c r="AT5" s="23" t="inlineStr">
        <is>
          <t>M12</t>
        </is>
      </c>
      <c r="AU5" s="61" t="n"/>
      <c r="AV5" s="61" t="n"/>
      <c r="AW5" s="61" t="n"/>
      <c r="AX5" s="61" t="n"/>
      <c r="AY5" s="61" t="n"/>
      <c r="AZ5" s="62" t="n"/>
    </row>
    <row r="6">
      <c r="A6" s="19" t="inlineStr">
        <is>
          <t>Hari</t>
        </is>
      </c>
      <c r="B6" s="61" t="n"/>
      <c r="C6" s="62" t="n"/>
      <c r="D6" s="20" t="inlineStr">
        <is>
          <t>Sen</t>
        </is>
      </c>
      <c r="E6" s="20" t="inlineStr">
        <is>
          <t>Sel</t>
        </is>
      </c>
      <c r="F6" s="20" t="inlineStr">
        <is>
          <t>Rab</t>
        </is>
      </c>
      <c r="G6" s="23" t="inlineStr">
        <is>
          <t>Kam</t>
        </is>
      </c>
      <c r="H6" s="23" t="inlineStr">
        <is>
          <t>Jum</t>
        </is>
      </c>
      <c r="I6" s="24" t="inlineStr">
        <is>
          <t>Sab</t>
        </is>
      </c>
      <c r="J6" s="24" t="inlineStr">
        <is>
          <t>Min</t>
        </is>
      </c>
      <c r="K6" s="23" t="inlineStr">
        <is>
          <t>Sen</t>
        </is>
      </c>
      <c r="L6" s="10" t="inlineStr">
        <is>
          <t>Sel</t>
        </is>
      </c>
      <c r="M6" s="23" t="inlineStr">
        <is>
          <t>Rab</t>
        </is>
      </c>
      <c r="N6" s="23" t="inlineStr">
        <is>
          <t>Kam</t>
        </is>
      </c>
      <c r="O6" s="23" t="inlineStr">
        <is>
          <t>Jum</t>
        </is>
      </c>
      <c r="P6" s="24" t="inlineStr">
        <is>
          <t>Sab</t>
        </is>
      </c>
      <c r="Q6" s="24" t="inlineStr">
        <is>
          <t>Min</t>
        </is>
      </c>
      <c r="R6" s="23" t="inlineStr">
        <is>
          <t>Sen</t>
        </is>
      </c>
      <c r="S6" s="11" t="inlineStr">
        <is>
          <t>Sel</t>
        </is>
      </c>
      <c r="T6" s="23" t="inlineStr">
        <is>
          <t>Rab</t>
        </is>
      </c>
      <c r="U6" s="23" t="inlineStr">
        <is>
          <t>Kam</t>
        </is>
      </c>
      <c r="V6" s="23" t="inlineStr">
        <is>
          <t>Jum</t>
        </is>
      </c>
      <c r="W6" s="24" t="inlineStr">
        <is>
          <t>Sab</t>
        </is>
      </c>
      <c r="X6" s="24" t="inlineStr">
        <is>
          <t>Min</t>
        </is>
      </c>
      <c r="Y6" s="23" t="inlineStr">
        <is>
          <t>Sen</t>
        </is>
      </c>
      <c r="Z6" s="10" t="inlineStr">
        <is>
          <t>Sel</t>
        </is>
      </c>
      <c r="AA6" s="23" t="inlineStr">
        <is>
          <t>Rab</t>
        </is>
      </c>
      <c r="AB6" s="23" t="inlineStr">
        <is>
          <t>Kam</t>
        </is>
      </c>
      <c r="AC6" s="23" t="inlineStr">
        <is>
          <t>Jum</t>
        </is>
      </c>
      <c r="AD6" s="24" t="inlineStr">
        <is>
          <t>Sab</t>
        </is>
      </c>
      <c r="AE6" s="24" t="inlineStr">
        <is>
          <t>Min</t>
        </is>
      </c>
      <c r="AF6" s="23" t="inlineStr">
        <is>
          <t>Sen</t>
        </is>
      </c>
      <c r="AG6" s="10" t="inlineStr">
        <is>
          <t>Sel</t>
        </is>
      </c>
      <c r="AH6" s="23" t="inlineStr">
        <is>
          <t>Rab</t>
        </is>
      </c>
      <c r="AI6" s="23" t="inlineStr">
        <is>
          <t>Kam</t>
        </is>
      </c>
      <c r="AJ6" s="23" t="inlineStr">
        <is>
          <t>Jum</t>
        </is>
      </c>
      <c r="AK6" s="24" t="inlineStr">
        <is>
          <t>Sab</t>
        </is>
      </c>
      <c r="AL6" s="24" t="inlineStr">
        <is>
          <t>Min</t>
        </is>
      </c>
      <c r="AM6" s="23" t="inlineStr">
        <is>
          <t>Sen</t>
        </is>
      </c>
      <c r="AN6" s="10" t="inlineStr">
        <is>
          <t>Sel</t>
        </is>
      </c>
      <c r="AO6" s="23" t="inlineStr">
        <is>
          <t>Rab</t>
        </is>
      </c>
      <c r="AP6" s="23" t="inlineStr">
        <is>
          <t>Kam</t>
        </is>
      </c>
      <c r="AQ6" s="23" t="inlineStr">
        <is>
          <t>Jum</t>
        </is>
      </c>
      <c r="AR6" s="24" t="inlineStr">
        <is>
          <t>Sab</t>
        </is>
      </c>
      <c r="AS6" s="24" t="inlineStr">
        <is>
          <t>Min</t>
        </is>
      </c>
      <c r="AT6" s="23" t="inlineStr">
        <is>
          <t>Sen</t>
        </is>
      </c>
      <c r="AU6" s="12" t="inlineStr">
        <is>
          <t>Sel</t>
        </is>
      </c>
      <c r="AV6" s="23" t="inlineStr">
        <is>
          <t>Rab</t>
        </is>
      </c>
      <c r="AW6" s="23" t="inlineStr">
        <is>
          <t>Kam</t>
        </is>
      </c>
      <c r="AX6" s="23" t="inlineStr">
        <is>
          <t>Jum</t>
        </is>
      </c>
      <c r="AY6" s="24" t="inlineStr">
        <is>
          <t>Sab</t>
        </is>
      </c>
      <c r="AZ6" s="24" t="inlineStr">
        <is>
          <t>Min</t>
        </is>
      </c>
    </row>
    <row r="7">
      <c r="A7" s="19" t="inlineStr">
        <is>
          <t>Tanggal</t>
        </is>
      </c>
      <c r="B7" s="61" t="n"/>
      <c r="C7" s="62" t="n"/>
      <c r="D7" s="73" t="n">
        <v>46293</v>
      </c>
      <c r="E7" s="73" t="n">
        <v>46294</v>
      </c>
      <c r="F7" s="73" t="n">
        <v>46295</v>
      </c>
      <c r="G7" s="74" t="n">
        <v>46296</v>
      </c>
      <c r="H7" s="74" t="n">
        <v>46297</v>
      </c>
      <c r="I7" s="75" t="n">
        <v>46298</v>
      </c>
      <c r="J7" s="75" t="n">
        <v>46299</v>
      </c>
      <c r="K7" s="74" t="n">
        <v>46300</v>
      </c>
      <c r="L7" s="76" t="n">
        <v>46301</v>
      </c>
      <c r="M7" s="74" t="n">
        <v>46302</v>
      </c>
      <c r="N7" s="74" t="n">
        <v>46303</v>
      </c>
      <c r="O7" s="74" t="n">
        <v>46304</v>
      </c>
      <c r="P7" s="75" t="n">
        <v>46305</v>
      </c>
      <c r="Q7" s="75" t="n">
        <v>46306</v>
      </c>
      <c r="R7" s="74" t="n">
        <v>46307</v>
      </c>
      <c r="S7" s="77" t="n">
        <v>46308</v>
      </c>
      <c r="T7" s="74" t="n">
        <v>46309</v>
      </c>
      <c r="U7" s="74" t="n">
        <v>46310</v>
      </c>
      <c r="V7" s="74" t="n">
        <v>46311</v>
      </c>
      <c r="W7" s="75" t="n">
        <v>46312</v>
      </c>
      <c r="X7" s="75" t="n">
        <v>46313</v>
      </c>
      <c r="Y7" s="74" t="n">
        <v>46314</v>
      </c>
      <c r="Z7" s="76" t="n">
        <v>46315</v>
      </c>
      <c r="AA7" s="74" t="n">
        <v>46316</v>
      </c>
      <c r="AB7" s="74" t="n">
        <v>46317</v>
      </c>
      <c r="AC7" s="74" t="n">
        <v>46318</v>
      </c>
      <c r="AD7" s="75" t="n">
        <v>46319</v>
      </c>
      <c r="AE7" s="75" t="n">
        <v>46320</v>
      </c>
      <c r="AF7" s="74" t="n">
        <v>46321</v>
      </c>
      <c r="AG7" s="76" t="n">
        <v>46322</v>
      </c>
      <c r="AH7" s="74" t="n">
        <v>46323</v>
      </c>
      <c r="AI7" s="74" t="n">
        <v>46324</v>
      </c>
      <c r="AJ7" s="74" t="n">
        <v>46325</v>
      </c>
      <c r="AK7" s="75" t="n">
        <v>46326</v>
      </c>
      <c r="AL7" s="75" t="n">
        <v>46327</v>
      </c>
      <c r="AM7" s="74" t="n">
        <v>46328</v>
      </c>
      <c r="AN7" s="76" t="n">
        <v>46329</v>
      </c>
      <c r="AO7" s="74" t="n">
        <v>46330</v>
      </c>
      <c r="AP7" s="74" t="n">
        <v>46331</v>
      </c>
      <c r="AQ7" s="74" t="n">
        <v>46332</v>
      </c>
      <c r="AR7" s="75" t="n">
        <v>46333</v>
      </c>
      <c r="AS7" s="75" t="n">
        <v>46334</v>
      </c>
      <c r="AT7" s="74" t="n">
        <v>46335</v>
      </c>
      <c r="AU7" s="78" t="n">
        <v>46336</v>
      </c>
      <c r="AV7" s="74" t="n">
        <v>46337</v>
      </c>
      <c r="AW7" s="74" t="n">
        <v>46338</v>
      </c>
      <c r="AX7" s="74" t="n">
        <v>46339</v>
      </c>
      <c r="AY7" s="75" t="n">
        <v>46340</v>
      </c>
      <c r="AZ7" s="75" t="n">
        <v>46341</v>
      </c>
    </row>
    <row r="8" ht="28" customHeight="1">
      <c r="A8" s="31" t="inlineStr">
        <is>
          <t>Pemilik</t>
        </is>
      </c>
      <c r="B8" s="31" t="inlineStr">
        <is>
          <t>Tugas</t>
        </is>
      </c>
      <c r="C8" s="31" t="inlineStr">
        <is>
          <t>Status</t>
        </is>
      </c>
      <c r="D8" s="32">
        <f>TRIM(IF(INT(D7)=TODAY(),"hari ini ","")&amp;"")</f>
        <v/>
      </c>
      <c r="E8" s="32">
        <f>TRIM(IF(INT(E7)=TODAY(),"hari ini ","")&amp;"")</f>
        <v/>
      </c>
      <c r="F8" s="32">
        <f>TRIM(IF(INT(F7)=TODAY(),"hari ini ","")&amp;"")</f>
        <v/>
      </c>
      <c r="G8" s="33">
        <f>TRIM(IF(INT(G7)=TODAY(),"hari ini ","")&amp;"")</f>
        <v/>
      </c>
      <c r="H8" s="33">
        <f>TRIM(IF(INT(H7)=TODAY(),"hari ini ","")&amp;"")</f>
        <v/>
      </c>
      <c r="I8" s="34">
        <f>TRIM(IF(INT(I7)=TODAY(),"hari ini ","")&amp;"")</f>
        <v/>
      </c>
      <c r="J8" s="34">
        <f>TRIM(IF(INT(J7)=TODAY(),"hari ini ","")&amp;"")</f>
        <v/>
      </c>
      <c r="K8" s="33">
        <f>TRIM(IF(INT(K7)=TODAY(),"hari ini ","")&amp;"")</f>
        <v/>
      </c>
      <c r="L8" s="35">
        <f>TRIM(IF(INT(L7)=TODAY(),"hari ini ","")&amp;"Laporan")</f>
        <v/>
      </c>
      <c r="M8" s="33">
        <f>TRIM(IF(INT(M7)=TODAY(),"hari ini ","")&amp;"")</f>
        <v/>
      </c>
      <c r="N8" s="33">
        <f>TRIM(IF(INT(N7)=TODAY(),"hari ini ","")&amp;"")</f>
        <v/>
      </c>
      <c r="O8" s="33">
        <f>TRIM(IF(INT(O7)=TODAY(),"hari ini ","")&amp;"")</f>
        <v/>
      </c>
      <c r="P8" s="34">
        <f>TRIM(IF(INT(P7)=TODAY(),"hari ini ","")&amp;"")</f>
        <v/>
      </c>
      <c r="Q8" s="34">
        <f>TRIM(IF(INT(Q7)=TODAY(),"hari ini ","")&amp;"")</f>
        <v/>
      </c>
      <c r="R8" s="33">
        <f>TRIM(IF(INT(R7)=TODAY(),"hari ini ","")&amp;"")</f>
        <v/>
      </c>
      <c r="S8" s="36">
        <f>TRIM(IF(INT(S7)=TODAY(),"hari ini ","")&amp;"M1")</f>
        <v/>
      </c>
      <c r="T8" s="33">
        <f>TRIM(IF(INT(T7)=TODAY(),"hari ini ","")&amp;"")</f>
        <v/>
      </c>
      <c r="U8" s="33">
        <f>TRIM(IF(INT(U7)=TODAY(),"hari ini ","")&amp;"")</f>
        <v/>
      </c>
      <c r="V8" s="33">
        <f>TRIM(IF(INT(V7)=TODAY(),"hari ini ","")&amp;"")</f>
        <v/>
      </c>
      <c r="W8" s="34">
        <f>TRIM(IF(INT(W7)=TODAY(),"hari ini ","")&amp;"")</f>
        <v/>
      </c>
      <c r="X8" s="34">
        <f>TRIM(IF(INT(X7)=TODAY(),"hari ini ","")&amp;"")</f>
        <v/>
      </c>
      <c r="Y8" s="33">
        <f>TRIM(IF(INT(Y7)=TODAY(),"hari ini ","")&amp;"")</f>
        <v/>
      </c>
      <c r="Z8" s="35">
        <f>TRIM(IF(INT(Z7)=TODAY(),"hari ini ","")&amp;"Laporan")</f>
        <v/>
      </c>
      <c r="AA8" s="33">
        <f>TRIM(IF(INT(AA7)=TODAY(),"hari ini ","")&amp;"")</f>
        <v/>
      </c>
      <c r="AB8" s="33">
        <f>TRIM(IF(INT(AB7)=TODAY(),"hari ini ","")&amp;"")</f>
        <v/>
      </c>
      <c r="AC8" s="33">
        <f>TRIM(IF(INT(AC7)=TODAY(),"hari ini ","")&amp;"")</f>
        <v/>
      </c>
      <c r="AD8" s="34">
        <f>TRIM(IF(INT(AD7)=TODAY(),"hari ini ","")&amp;"")</f>
        <v/>
      </c>
      <c r="AE8" s="34">
        <f>TRIM(IF(INT(AE7)=TODAY(),"hari ini ","")&amp;"")</f>
        <v/>
      </c>
      <c r="AF8" s="33">
        <f>TRIM(IF(INT(AF7)=TODAY(),"hari ini ","")&amp;"")</f>
        <v/>
      </c>
      <c r="AG8" s="35">
        <f>TRIM(IF(INT(AG7)=TODAY(),"hari ini ","")&amp;"Laporan")</f>
        <v/>
      </c>
      <c r="AH8" s="33">
        <f>TRIM(IF(INT(AH7)=TODAY(),"hari ini ","")&amp;"")</f>
        <v/>
      </c>
      <c r="AI8" s="33">
        <f>TRIM(IF(INT(AI7)=TODAY(),"hari ini ","")&amp;"")</f>
        <v/>
      </c>
      <c r="AJ8" s="33">
        <f>TRIM(IF(INT(AJ7)=TODAY(),"hari ini ","")&amp;"")</f>
        <v/>
      </c>
      <c r="AK8" s="34">
        <f>TRIM(IF(INT(AK7)=TODAY(),"hari ini ","")&amp;"")</f>
        <v/>
      </c>
      <c r="AL8" s="34">
        <f>TRIM(IF(INT(AL7)=TODAY(),"hari ini ","")&amp;"")</f>
        <v/>
      </c>
      <c r="AM8" s="33">
        <f>TRIM(IF(INT(AM7)=TODAY(),"hari ini ","")&amp;"")</f>
        <v/>
      </c>
      <c r="AN8" s="35">
        <f>TRIM(IF(INT(AN7)=TODAY(),"hari ini ","")&amp;"Laporan")</f>
        <v/>
      </c>
      <c r="AO8" s="33">
        <f>TRIM(IF(INT(AO7)=TODAY(),"hari ini ","")&amp;"")</f>
        <v/>
      </c>
      <c r="AP8" s="33">
        <f>TRIM(IF(INT(AP7)=TODAY(),"hari ini ","")&amp;"")</f>
        <v/>
      </c>
      <c r="AQ8" s="33">
        <f>TRIM(IF(INT(AQ7)=TODAY(),"hari ini ","")&amp;"")</f>
        <v/>
      </c>
      <c r="AR8" s="34">
        <f>TRIM(IF(INT(AR7)=TODAY(),"hari ini ","")&amp;"")</f>
        <v/>
      </c>
      <c r="AS8" s="34">
        <f>TRIM(IF(INT(AS7)=TODAY(),"hari ini ","")&amp;"")</f>
        <v/>
      </c>
      <c r="AT8" s="33">
        <f>TRIM(IF(INT(AT7)=TODAY(),"hari ini ","")&amp;"")</f>
        <v/>
      </c>
      <c r="AU8" s="37">
        <f>TRIM(IF(INT(AU7)=TODAY(),"hari ini ","")&amp;"M2")</f>
        <v/>
      </c>
      <c r="AV8" s="33">
        <f>TRIM(IF(INT(AV7)=TODAY(),"hari ini ","")&amp;"")</f>
        <v/>
      </c>
      <c r="AW8" s="33">
        <f>TRIM(IF(INT(AW7)=TODAY(),"hari ini ","")&amp;"")</f>
        <v/>
      </c>
      <c r="AX8" s="33">
        <f>TRIM(IF(INT(AX7)=TODAY(),"hari ini ","")&amp;"")</f>
        <v/>
      </c>
      <c r="AY8" s="34">
        <f>TRIM(IF(INT(AY7)=TODAY(),"hari ini ","")&amp;"")</f>
        <v/>
      </c>
      <c r="AZ8" s="34">
        <f>TRIM(IF(INT(AZ7)=TODAY(),"hari ini ","")&amp;"")</f>
        <v/>
      </c>
    </row>
    <row r="9">
      <c r="A9" s="13" t="inlineStr">
        <is>
          <t>Checkpoint</t>
        </is>
      </c>
      <c r="B9" s="8" t="inlineStr">
        <is>
          <t>Laporan / milestone dosen</t>
        </is>
      </c>
      <c r="C9" s="9" t="inlineStr">
        <is>
          <t>laporan</t>
        </is>
      </c>
      <c r="D9" s="38" t="n"/>
      <c r="E9" s="38" t="n"/>
      <c r="F9" s="38" t="n"/>
      <c r="G9" s="38" t="n"/>
      <c r="H9" s="38" t="n"/>
      <c r="I9" s="39" t="n"/>
      <c r="J9" s="39" t="n"/>
      <c r="K9" s="38" t="n"/>
      <c r="L9" s="40" t="inlineStr">
        <is>
          <t>Laporan</t>
        </is>
      </c>
      <c r="M9" s="38" t="n"/>
      <c r="N9" s="38" t="n"/>
      <c r="O9" s="38" t="n"/>
      <c r="P9" s="39" t="n"/>
      <c r="Q9" s="39" t="n"/>
      <c r="R9" s="38" t="n"/>
      <c r="S9" s="41" t="inlineStr">
        <is>
          <t>M1</t>
        </is>
      </c>
      <c r="T9" s="38" t="n"/>
      <c r="U9" s="38" t="n"/>
      <c r="V9" s="38" t="n"/>
      <c r="W9" s="39" t="n"/>
      <c r="X9" s="39" t="n"/>
      <c r="Y9" s="38" t="n"/>
      <c r="Z9" s="40" t="inlineStr">
        <is>
          <t>Laporan</t>
        </is>
      </c>
      <c r="AA9" s="38" t="n"/>
      <c r="AB9" s="38" t="n"/>
      <c r="AC9" s="38" t="n"/>
      <c r="AD9" s="39" t="n"/>
      <c r="AE9" s="39" t="n"/>
      <c r="AF9" s="38" t="n"/>
      <c r="AG9" s="40" t="inlineStr">
        <is>
          <t>Laporan</t>
        </is>
      </c>
      <c r="AH9" s="38" t="n"/>
      <c r="AI9" s="38" t="n"/>
      <c r="AJ9" s="38" t="n"/>
      <c r="AK9" s="39" t="n"/>
      <c r="AL9" s="39" t="n"/>
      <c r="AM9" s="38" t="n"/>
      <c r="AN9" s="40" t="inlineStr">
        <is>
          <t>Laporan</t>
        </is>
      </c>
      <c r="AO9" s="38" t="n"/>
      <c r="AP9" s="38" t="n"/>
      <c r="AQ9" s="38" t="n"/>
      <c r="AR9" s="39" t="n"/>
      <c r="AS9" s="39" t="n"/>
      <c r="AT9" s="38" t="n"/>
      <c r="AU9" s="42" t="inlineStr">
        <is>
          <t>M2</t>
        </is>
      </c>
      <c r="AV9" s="38" t="n"/>
      <c r="AW9" s="38" t="n"/>
      <c r="AX9" s="38" t="n"/>
      <c r="AY9" s="39" t="n"/>
      <c r="AZ9" s="39" t="n"/>
    </row>
    <row r="10">
      <c r="A10" s="43" t="inlineStr">
        <is>
          <t>Daffa</t>
        </is>
      </c>
      <c r="B10" s="44" t="inlineStr">
        <is>
          <t>File 1 users + File 4 social_accounts</t>
        </is>
      </c>
      <c r="C10" s="5" t="inlineStr">
        <is>
          <t>proses</t>
        </is>
      </c>
      <c r="D10" s="45" t="n"/>
      <c r="E10" s="45" t="n"/>
      <c r="F10" s="45" t="n"/>
      <c r="G10" s="46" t="inlineStr">
        <is>
          <t>x</t>
        </is>
      </c>
      <c r="H10" s="46" t="inlineStr">
        <is>
          <t>x</t>
        </is>
      </c>
      <c r="I10" s="46" t="inlineStr">
        <is>
          <t>x</t>
        </is>
      </c>
      <c r="J10" s="46" t="inlineStr">
        <is>
          <t>x</t>
        </is>
      </c>
      <c r="K10" s="45" t="n"/>
      <c r="L10" s="45" t="n"/>
      <c r="M10" s="45" t="n"/>
      <c r="N10" s="45" t="n"/>
      <c r="O10" s="45" t="n"/>
      <c r="P10" s="47" t="n"/>
      <c r="Q10" s="47" t="n"/>
      <c r="R10" s="45" t="n"/>
      <c r="S10" s="45" t="n"/>
      <c r="T10" s="45" t="n"/>
      <c r="U10" s="45" t="n"/>
      <c r="V10" s="45" t="n"/>
      <c r="W10" s="47" t="n"/>
      <c r="X10" s="47" t="n"/>
      <c r="Y10" s="45" t="n"/>
      <c r="Z10" s="45" t="n"/>
      <c r="AA10" s="45" t="n"/>
      <c r="AB10" s="45" t="n"/>
      <c r="AC10" s="45" t="n"/>
      <c r="AD10" s="47" t="n"/>
      <c r="AE10" s="47" t="n"/>
      <c r="AF10" s="45" t="n"/>
      <c r="AG10" s="45" t="n"/>
      <c r="AH10" s="45" t="n"/>
      <c r="AI10" s="45" t="n"/>
      <c r="AJ10" s="45" t="n"/>
      <c r="AK10" s="47" t="n"/>
      <c r="AL10" s="47" t="n"/>
      <c r="AM10" s="45" t="n"/>
      <c r="AN10" s="45" t="n"/>
      <c r="AO10" s="45" t="n"/>
      <c r="AP10" s="45" t="n"/>
      <c r="AQ10" s="45" t="n"/>
      <c r="AR10" s="47" t="n"/>
      <c r="AS10" s="47" t="n"/>
      <c r="AT10" s="45" t="n"/>
      <c r="AU10" s="45" t="n"/>
      <c r="AV10" s="45" t="n"/>
      <c r="AW10" s="45" t="n"/>
      <c r="AX10" s="45" t="n"/>
      <c r="AY10" s="47" t="n"/>
      <c r="AZ10" s="47" t="n"/>
    </row>
    <row r="11">
      <c r="A11" s="48" t="inlineStr">
        <is>
          <t>Daffa</t>
        </is>
      </c>
      <c r="B11" s="49" t="inlineStr">
        <is>
          <t>UC-01 login + middleware 3 peran</t>
        </is>
      </c>
      <c r="C11" s="15" t="inlineStr">
        <is>
          <t>kritis</t>
        </is>
      </c>
      <c r="D11" s="50" t="n"/>
      <c r="E11" s="50" t="n"/>
      <c r="F11" s="50" t="n"/>
      <c r="G11" s="50" t="n"/>
      <c r="H11" s="50" t="n"/>
      <c r="I11" s="47" t="n"/>
      <c r="J11" s="47" t="n"/>
      <c r="K11" s="46" t="inlineStr">
        <is>
          <t>x</t>
        </is>
      </c>
      <c r="L11" s="46" t="inlineStr">
        <is>
          <t>x</t>
        </is>
      </c>
      <c r="M11" s="46" t="inlineStr">
        <is>
          <t>x</t>
        </is>
      </c>
      <c r="N11" s="50" t="n"/>
      <c r="O11" s="50" t="n"/>
      <c r="P11" s="47" t="n"/>
      <c r="Q11" s="47" t="n"/>
      <c r="R11" s="50" t="n"/>
      <c r="S11" s="50" t="n"/>
      <c r="T11" s="50" t="n"/>
      <c r="U11" s="50" t="n"/>
      <c r="V11" s="50" t="n"/>
      <c r="W11" s="47" t="n"/>
      <c r="X11" s="47" t="n"/>
      <c r="Y11" s="50" t="n"/>
      <c r="Z11" s="50" t="n"/>
      <c r="AA11" s="50" t="n"/>
      <c r="AB11" s="50" t="n"/>
      <c r="AC11" s="50" t="n"/>
      <c r="AD11" s="47" t="n"/>
      <c r="AE11" s="47" t="n"/>
      <c r="AF11" s="50" t="n"/>
      <c r="AG11" s="50" t="n"/>
      <c r="AH11" s="50" t="n"/>
      <c r="AI11" s="50" t="n"/>
      <c r="AJ11" s="50" t="n"/>
      <c r="AK11" s="47" t="n"/>
      <c r="AL11" s="47" t="n"/>
      <c r="AM11" s="50" t="n"/>
      <c r="AN11" s="50" t="n"/>
      <c r="AO11" s="50" t="n"/>
      <c r="AP11" s="50" t="n"/>
      <c r="AQ11" s="50" t="n"/>
      <c r="AR11" s="47" t="n"/>
      <c r="AS11" s="47" t="n"/>
      <c r="AT11" s="50" t="n"/>
      <c r="AU11" s="50" t="n"/>
      <c r="AV11" s="50" t="n"/>
      <c r="AW11" s="50" t="n"/>
      <c r="AX11" s="50" t="n"/>
      <c r="AY11" s="47" t="n"/>
      <c r="AZ11" s="47" t="n"/>
    </row>
    <row r="12">
      <c r="A12" s="43" t="inlineStr">
        <is>
          <t>Daffa</t>
        </is>
      </c>
      <c r="B12" s="44" t="inlineStr">
        <is>
          <t>UC-03 profil akun + siapkan File 13/14</t>
        </is>
      </c>
      <c r="C12" s="5" t="inlineStr">
        <is>
          <t>rencana</t>
        </is>
      </c>
      <c r="D12" s="45" t="n"/>
      <c r="E12" s="45" t="n"/>
      <c r="F12" s="45" t="n"/>
      <c r="G12" s="45" t="n"/>
      <c r="H12" s="45" t="n"/>
      <c r="I12" s="47" t="n"/>
      <c r="J12" s="47" t="n"/>
      <c r="K12" s="45" t="n"/>
      <c r="L12" s="45" t="n"/>
      <c r="M12" s="45" t="n"/>
      <c r="N12" s="46" t="inlineStr">
        <is>
          <t>x</t>
        </is>
      </c>
      <c r="O12" s="46" t="inlineStr">
        <is>
          <t>x</t>
        </is>
      </c>
      <c r="P12" s="46" t="inlineStr">
        <is>
          <t>x</t>
        </is>
      </c>
      <c r="Q12" s="46" t="inlineStr">
        <is>
          <t>x</t>
        </is>
      </c>
      <c r="R12" s="45" t="n"/>
      <c r="S12" s="45" t="n"/>
      <c r="T12" s="45" t="n"/>
      <c r="U12" s="45" t="n"/>
      <c r="V12" s="45" t="n"/>
      <c r="W12" s="47" t="n"/>
      <c r="X12" s="47" t="n"/>
      <c r="Y12" s="45" t="n"/>
      <c r="Z12" s="45" t="n"/>
      <c r="AA12" s="45" t="n"/>
      <c r="AB12" s="45" t="n"/>
      <c r="AC12" s="45" t="n"/>
      <c r="AD12" s="47" t="n"/>
      <c r="AE12" s="47" t="n"/>
      <c r="AF12" s="45" t="n"/>
      <c r="AG12" s="45" t="n"/>
      <c r="AH12" s="45" t="n"/>
      <c r="AI12" s="45" t="n"/>
      <c r="AJ12" s="45" t="n"/>
      <c r="AK12" s="47" t="n"/>
      <c r="AL12" s="47" t="n"/>
      <c r="AM12" s="45" t="n"/>
      <c r="AN12" s="45" t="n"/>
      <c r="AO12" s="45" t="n"/>
      <c r="AP12" s="45" t="n"/>
      <c r="AQ12" s="45" t="n"/>
      <c r="AR12" s="47" t="n"/>
      <c r="AS12" s="47" t="n"/>
      <c r="AT12" s="45" t="n"/>
      <c r="AU12" s="45" t="n"/>
      <c r="AV12" s="45" t="n"/>
      <c r="AW12" s="45" t="n"/>
      <c r="AX12" s="45" t="n"/>
      <c r="AY12" s="47" t="n"/>
      <c r="AZ12" s="47" t="n"/>
    </row>
    <row r="13">
      <c r="A13" s="48" t="inlineStr">
        <is>
          <t>Daffa</t>
        </is>
      </c>
      <c r="B13" s="49" t="inlineStr">
        <is>
          <t>UC-02 registrasi + proteksi route</t>
        </is>
      </c>
      <c r="C13" s="15" t="inlineStr">
        <is>
          <t>rencana</t>
        </is>
      </c>
      <c r="D13" s="50" t="n"/>
      <c r="E13" s="50" t="n"/>
      <c r="F13" s="50" t="n"/>
      <c r="G13" s="50" t="n"/>
      <c r="H13" s="50" t="n"/>
      <c r="I13" s="47" t="n"/>
      <c r="J13" s="47" t="n"/>
      <c r="K13" s="50" t="n"/>
      <c r="L13" s="50" t="n"/>
      <c r="M13" s="50" t="n"/>
      <c r="N13" s="50" t="n"/>
      <c r="O13" s="50" t="n"/>
      <c r="P13" s="47" t="n"/>
      <c r="Q13" s="47" t="n"/>
      <c r="R13" s="46" t="inlineStr">
        <is>
          <t>x</t>
        </is>
      </c>
      <c r="S13" s="46" t="inlineStr">
        <is>
          <t>x</t>
        </is>
      </c>
      <c r="T13" s="46" t="inlineStr">
        <is>
          <t>x</t>
        </is>
      </c>
      <c r="U13" s="46" t="inlineStr">
        <is>
          <t>x</t>
        </is>
      </c>
      <c r="V13" s="46" t="inlineStr">
        <is>
          <t>x</t>
        </is>
      </c>
      <c r="W13" s="46" t="inlineStr">
        <is>
          <t>x</t>
        </is>
      </c>
      <c r="X13" s="46" t="inlineStr">
        <is>
          <t>x</t>
        </is>
      </c>
      <c r="Y13" s="50" t="n"/>
      <c r="Z13" s="50" t="n"/>
      <c r="AA13" s="50" t="n"/>
      <c r="AB13" s="50" t="n"/>
      <c r="AC13" s="50" t="n"/>
      <c r="AD13" s="47" t="n"/>
      <c r="AE13" s="47" t="n"/>
      <c r="AF13" s="50" t="n"/>
      <c r="AG13" s="50" t="n"/>
      <c r="AH13" s="50" t="n"/>
      <c r="AI13" s="50" t="n"/>
      <c r="AJ13" s="50" t="n"/>
      <c r="AK13" s="47" t="n"/>
      <c r="AL13" s="47" t="n"/>
      <c r="AM13" s="50" t="n"/>
      <c r="AN13" s="50" t="n"/>
      <c r="AO13" s="50" t="n"/>
      <c r="AP13" s="50" t="n"/>
      <c r="AQ13" s="50" t="n"/>
      <c r="AR13" s="47" t="n"/>
      <c r="AS13" s="47" t="n"/>
      <c r="AT13" s="50" t="n"/>
      <c r="AU13" s="50" t="n"/>
      <c r="AV13" s="50" t="n"/>
      <c r="AW13" s="50" t="n"/>
      <c r="AX13" s="50" t="n"/>
      <c r="AY13" s="47" t="n"/>
      <c r="AZ13" s="47" t="n"/>
    </row>
    <row r="14">
      <c r="A14" s="43" t="inlineStr">
        <is>
          <t>Daffa</t>
        </is>
      </c>
      <c r="B14" s="44" t="inlineStr">
        <is>
          <t>UC-07 skor + UC-09a generate rekomendasi</t>
        </is>
      </c>
      <c r="C14" s="5" t="inlineStr">
        <is>
          <t>kritis</t>
        </is>
      </c>
      <c r="D14" s="45" t="n"/>
      <c r="E14" s="45" t="n"/>
      <c r="F14" s="45" t="n"/>
      <c r="G14" s="45" t="n"/>
      <c r="H14" s="45" t="n"/>
      <c r="I14" s="47" t="n"/>
      <c r="J14" s="47" t="n"/>
      <c r="K14" s="45" t="n"/>
      <c r="L14" s="45" t="n"/>
      <c r="M14" s="45" t="n"/>
      <c r="N14" s="45" t="n"/>
      <c r="O14" s="45" t="n"/>
      <c r="P14" s="47" t="n"/>
      <c r="Q14" s="47" t="n"/>
      <c r="R14" s="45" t="n"/>
      <c r="S14" s="45" t="n"/>
      <c r="T14" s="45" t="n"/>
      <c r="U14" s="45" t="n"/>
      <c r="V14" s="45" t="n"/>
      <c r="W14" s="47" t="n"/>
      <c r="X14" s="47" t="n"/>
      <c r="Y14" s="46" t="inlineStr">
        <is>
          <t>x</t>
        </is>
      </c>
      <c r="Z14" s="46" t="inlineStr">
        <is>
          <t>x</t>
        </is>
      </c>
      <c r="AA14" s="46" t="inlineStr">
        <is>
          <t>x</t>
        </is>
      </c>
      <c r="AB14" s="46" t="inlineStr">
        <is>
          <t>x</t>
        </is>
      </c>
      <c r="AC14" s="46" t="inlineStr">
        <is>
          <t>x</t>
        </is>
      </c>
      <c r="AD14" s="46" t="inlineStr">
        <is>
          <t>x</t>
        </is>
      </c>
      <c r="AE14" s="46" t="inlineStr">
        <is>
          <t>x</t>
        </is>
      </c>
      <c r="AF14" s="45" t="n"/>
      <c r="AG14" s="45" t="n"/>
      <c r="AH14" s="45" t="n"/>
      <c r="AI14" s="45" t="n"/>
      <c r="AJ14" s="45" t="n"/>
      <c r="AK14" s="47" t="n"/>
      <c r="AL14" s="47" t="n"/>
      <c r="AM14" s="45" t="n"/>
      <c r="AN14" s="45" t="n"/>
      <c r="AO14" s="45" t="n"/>
      <c r="AP14" s="45" t="n"/>
      <c r="AQ14" s="45" t="n"/>
      <c r="AR14" s="47" t="n"/>
      <c r="AS14" s="47" t="n"/>
      <c r="AT14" s="45" t="n"/>
      <c r="AU14" s="45" t="n"/>
      <c r="AV14" s="45" t="n"/>
      <c r="AW14" s="45" t="n"/>
      <c r="AX14" s="45" t="n"/>
      <c r="AY14" s="47" t="n"/>
      <c r="AZ14" s="47" t="n"/>
    </row>
    <row r="15">
      <c r="A15" s="48" t="inlineStr">
        <is>
          <t>Daffa</t>
        </is>
      </c>
      <c r="B15" s="49" t="inlineStr">
        <is>
          <t>Shell menu 3 peran</t>
        </is>
      </c>
      <c r="C15" s="15" t="inlineStr">
        <is>
          <t>rencana</t>
        </is>
      </c>
      <c r="D15" s="50" t="n"/>
      <c r="E15" s="50" t="n"/>
      <c r="F15" s="50" t="n"/>
      <c r="G15" s="83" t="inlineStr">
        <is>
          <t>x</t>
        </is>
      </c>
      <c r="H15" s="83" t="inlineStr">
        <is>
          <t>x</t>
        </is>
      </c>
      <c r="I15" s="83" t="inlineStr">
        <is>
          <t>x</t>
        </is>
      </c>
      <c r="J15" s="83" t="inlineStr">
        <is>
          <t>x</t>
        </is>
      </c>
      <c r="K15" s="83" t="inlineStr">
        <is>
          <t>x</t>
        </is>
      </c>
      <c r="L15" s="83" t="inlineStr">
        <is>
          <t>x</t>
        </is>
      </c>
      <c r="M15" s="83" t="inlineStr">
        <is>
          <t>x</t>
        </is>
      </c>
      <c r="N15" s="50" t="n"/>
      <c r="O15" s="50" t="n"/>
      <c r="P15" s="47" t="n"/>
      <c r="Q15" s="47" t="n"/>
      <c r="R15" s="50" t="n"/>
      <c r="S15" s="50" t="n"/>
      <c r="T15" s="50" t="n"/>
      <c r="U15" s="50" t="n"/>
      <c r="V15" s="50" t="n"/>
      <c r="W15" s="47" t="n"/>
      <c r="X15" s="47" t="n"/>
      <c r="Y15" s="50" t="n"/>
      <c r="Z15" s="50" t="n"/>
      <c r="AA15" s="50" t="n"/>
      <c r="AB15" s="50" t="n"/>
      <c r="AC15" s="50" t="n"/>
      <c r="AD15" s="47" t="n"/>
      <c r="AE15" s="47" t="n"/>
      <c r="AF15" s="84" t="n"/>
      <c r="AG15" s="84" t="n"/>
      <c r="AH15" s="84" t="n"/>
      <c r="AI15" s="84" t="n"/>
      <c r="AJ15" s="84" t="n"/>
      <c r="AK15" s="86" t="n"/>
      <c r="AL15" s="86" t="n"/>
      <c r="AM15" s="50" t="n"/>
      <c r="AN15" s="50" t="n"/>
      <c r="AO15" s="50" t="n"/>
      <c r="AP15" s="50" t="n"/>
      <c r="AQ15" s="50" t="n"/>
      <c r="AR15" s="47" t="n"/>
      <c r="AS15" s="47" t="n"/>
      <c r="AT15" s="50" t="n"/>
      <c r="AU15" s="50" t="n"/>
      <c r="AV15" s="50" t="n"/>
      <c r="AW15" s="50" t="n"/>
      <c r="AX15" s="50" t="n"/>
      <c r="AY15" s="47" t="n"/>
      <c r="AZ15" s="47" t="n"/>
    </row>
    <row r="16">
      <c r="A16" s="43" t="inlineStr">
        <is>
          <t>Daffa</t>
        </is>
      </c>
      <c r="B16" s="44" t="inlineStr">
        <is>
          <t>Perbaiki auth dan scoring</t>
        </is>
      </c>
      <c r="C16" s="5" t="inlineStr">
        <is>
          <t>rencana</t>
        </is>
      </c>
      <c r="D16" s="45" t="n"/>
      <c r="E16" s="45" t="n"/>
      <c r="F16" s="45" t="n"/>
      <c r="G16" s="45" t="n"/>
      <c r="H16" s="45" t="n"/>
      <c r="I16" s="47" t="n"/>
      <c r="J16" s="47" t="n"/>
      <c r="K16" s="45" t="n"/>
      <c r="L16" s="45" t="n"/>
      <c r="M16" s="45" t="n"/>
      <c r="N16" s="45" t="n"/>
      <c r="O16" s="45" t="n"/>
      <c r="P16" s="47" t="n"/>
      <c r="Q16" s="47" t="n"/>
      <c r="R16" s="45" t="n"/>
      <c r="S16" s="45" t="n"/>
      <c r="T16" s="45" t="n"/>
      <c r="U16" s="45" t="n"/>
      <c r="V16" s="45" t="n"/>
      <c r="W16" s="47" t="n"/>
      <c r="X16" s="47" t="n"/>
      <c r="Y16" s="45" t="n"/>
      <c r="Z16" s="45" t="n"/>
      <c r="AA16" s="45" t="n"/>
      <c r="AB16" s="45" t="n"/>
      <c r="AC16" s="45" t="n"/>
      <c r="AD16" s="47" t="n"/>
      <c r="AE16" s="47" t="n"/>
      <c r="AF16" s="45" t="n"/>
      <c r="AG16" s="45" t="n"/>
      <c r="AH16" s="45" t="n"/>
      <c r="AI16" s="45" t="n"/>
      <c r="AJ16" s="45" t="n"/>
      <c r="AK16" s="47" t="n"/>
      <c r="AL16" s="47" t="n"/>
      <c r="AM16" s="46" t="inlineStr">
        <is>
          <t>x</t>
        </is>
      </c>
      <c r="AN16" s="46" t="inlineStr">
        <is>
          <t>x</t>
        </is>
      </c>
      <c r="AO16" s="46" t="inlineStr">
        <is>
          <t>x</t>
        </is>
      </c>
      <c r="AP16" s="46" t="inlineStr">
        <is>
          <t>x</t>
        </is>
      </c>
      <c r="AQ16" s="46" t="inlineStr">
        <is>
          <t>x</t>
        </is>
      </c>
      <c r="AR16" s="46" t="inlineStr">
        <is>
          <t>x</t>
        </is>
      </c>
      <c r="AS16" s="46" t="inlineStr">
        <is>
          <t>x</t>
        </is>
      </c>
      <c r="AT16" s="45" t="n"/>
      <c r="AU16" s="45" t="n"/>
      <c r="AV16" s="45" t="n"/>
      <c r="AW16" s="45" t="n"/>
      <c r="AX16" s="45" t="n"/>
      <c r="AY16" s="47" t="n"/>
      <c r="AZ16" s="47" t="n"/>
    </row>
    <row r="17">
      <c r="A17" s="48" t="inlineStr">
        <is>
          <t>Daffa</t>
        </is>
      </c>
      <c r="B17" s="49" t="inlineStr">
        <is>
          <t>Tes Pest alur inti</t>
        </is>
      </c>
      <c r="C17" s="15" t="inlineStr">
        <is>
          <t>kritis</t>
        </is>
      </c>
      <c r="D17" s="50" t="n"/>
      <c r="E17" s="50" t="n"/>
      <c r="F17" s="50" t="n"/>
      <c r="G17" s="50" t="n"/>
      <c r="H17" s="50" t="n"/>
      <c r="I17" s="47" t="n"/>
      <c r="J17" s="47" t="n"/>
      <c r="K17" s="50" t="n"/>
      <c r="L17" s="50" t="n"/>
      <c r="M17" s="50" t="n"/>
      <c r="N17" s="50" t="n"/>
      <c r="O17" s="50" t="n"/>
      <c r="P17" s="47" t="n"/>
      <c r="Q17" s="47" t="n"/>
      <c r="R17" s="50" t="n"/>
      <c r="S17" s="50" t="n"/>
      <c r="T17" s="50" t="n"/>
      <c r="U17" s="50" t="n"/>
      <c r="V17" s="50" t="n"/>
      <c r="W17" s="47" t="n"/>
      <c r="X17" s="47" t="n"/>
      <c r="Y17" s="50" t="n"/>
      <c r="Z17" s="50" t="n"/>
      <c r="AA17" s="50" t="n"/>
      <c r="AB17" s="50" t="n"/>
      <c r="AC17" s="50" t="n"/>
      <c r="AD17" s="47" t="n"/>
      <c r="AE17" s="47" t="n"/>
      <c r="AF17" s="50" t="n"/>
      <c r="AG17" s="50" t="n"/>
      <c r="AH17" s="50" t="n"/>
      <c r="AI17" s="50" t="n"/>
      <c r="AJ17" s="50" t="n"/>
      <c r="AK17" s="47" t="n"/>
      <c r="AL17" s="47" t="n"/>
      <c r="AM17" s="50" t="n"/>
      <c r="AN17" s="50" t="n"/>
      <c r="AO17" s="50" t="n"/>
      <c r="AP17" s="50" t="n"/>
      <c r="AQ17" s="50" t="n"/>
      <c r="AR17" s="47" t="n"/>
      <c r="AS17" s="47" t="n"/>
      <c r="AT17" s="46" t="inlineStr">
        <is>
          <t>x</t>
        </is>
      </c>
      <c r="AU17" s="46" t="inlineStr">
        <is>
          <t>x</t>
        </is>
      </c>
      <c r="AV17" s="46" t="inlineStr">
        <is>
          <t>x</t>
        </is>
      </c>
      <c r="AW17" s="46" t="inlineStr">
        <is>
          <t>x</t>
        </is>
      </c>
      <c r="AX17" s="46" t="inlineStr">
        <is>
          <t>x</t>
        </is>
      </c>
      <c r="AY17" s="46" t="inlineStr">
        <is>
          <t>x</t>
        </is>
      </c>
      <c r="AZ17" s="46" t="inlineStr">
        <is>
          <t>x</t>
        </is>
      </c>
    </row>
    <row r="18">
      <c r="A18" s="43" t="inlineStr">
        <is>
          <t>Hernanda</t>
        </is>
      </c>
      <c r="B18" s="44" t="inlineStr">
        <is>
          <t>File 3 jenis usaha + seeder</t>
        </is>
      </c>
      <c r="C18" s="5" t="inlineStr">
        <is>
          <t>selesai</t>
        </is>
      </c>
      <c r="D18" s="51" t="inlineStr">
        <is>
          <t>x</t>
        </is>
      </c>
      <c r="E18" s="51" t="inlineStr">
        <is>
          <t>x</t>
        </is>
      </c>
      <c r="F18" s="51" t="inlineStr">
        <is>
          <t>x</t>
        </is>
      </c>
      <c r="G18" s="45" t="n"/>
      <c r="H18" s="45" t="n"/>
      <c r="I18" s="47" t="n"/>
      <c r="J18" s="47" t="n"/>
      <c r="K18" s="45" t="n"/>
      <c r="L18" s="45" t="n"/>
      <c r="M18" s="45" t="n"/>
      <c r="N18" s="45" t="n"/>
      <c r="O18" s="45" t="n"/>
      <c r="P18" s="47" t="n"/>
      <c r="Q18" s="47" t="n"/>
      <c r="R18" s="45" t="n"/>
      <c r="S18" s="45" t="n"/>
      <c r="T18" s="45" t="n"/>
      <c r="U18" s="45" t="n"/>
      <c r="V18" s="45" t="n"/>
      <c r="W18" s="47" t="n"/>
      <c r="X18" s="47" t="n"/>
      <c r="Y18" s="45" t="n"/>
      <c r="Z18" s="45" t="n"/>
      <c r="AA18" s="45" t="n"/>
      <c r="AB18" s="45" t="n"/>
      <c r="AC18" s="45" t="n"/>
      <c r="AD18" s="47" t="n"/>
      <c r="AE18" s="47" t="n"/>
      <c r="AF18" s="45" t="n"/>
      <c r="AG18" s="45" t="n"/>
      <c r="AH18" s="45" t="n"/>
      <c r="AI18" s="45" t="n"/>
      <c r="AJ18" s="45" t="n"/>
      <c r="AK18" s="47" t="n"/>
      <c r="AL18" s="47" t="n"/>
      <c r="AM18" s="45" t="n"/>
      <c r="AN18" s="45" t="n"/>
      <c r="AO18" s="45" t="n"/>
      <c r="AP18" s="45" t="n"/>
      <c r="AQ18" s="45" t="n"/>
      <c r="AR18" s="47" t="n"/>
      <c r="AS18" s="47" t="n"/>
      <c r="AT18" s="45" t="n"/>
      <c r="AU18" s="45" t="n"/>
      <c r="AV18" s="45" t="n"/>
      <c r="AW18" s="45" t="n"/>
      <c r="AX18" s="45" t="n"/>
      <c r="AY18" s="47" t="n"/>
      <c r="AZ18" s="47" t="n"/>
    </row>
    <row r="19">
      <c r="A19" s="48" t="inlineStr">
        <is>
          <t>Hernanda</t>
        </is>
      </c>
      <c r="B19" s="49" t="inlineStr">
        <is>
          <t>File 5 businesses (nunggu File 1)</t>
        </is>
      </c>
      <c r="C19" s="15" t="inlineStr">
        <is>
          <t>rencana</t>
        </is>
      </c>
      <c r="D19" s="50" t="n"/>
      <c r="E19" s="50" t="n"/>
      <c r="F19" s="50" t="n"/>
      <c r="G19" s="50" t="n"/>
      <c r="H19" s="50" t="n"/>
      <c r="I19" s="51" t="inlineStr">
        <is>
          <t>x</t>
        </is>
      </c>
      <c r="J19" s="51" t="inlineStr">
        <is>
          <t>x</t>
        </is>
      </c>
      <c r="K19" s="51" t="inlineStr">
        <is>
          <t>x</t>
        </is>
      </c>
      <c r="L19" s="51" t="inlineStr">
        <is>
          <t>x</t>
        </is>
      </c>
      <c r="M19" s="51" t="inlineStr">
        <is>
          <t>x</t>
        </is>
      </c>
      <c r="N19" s="50" t="n"/>
      <c r="O19" s="50" t="n"/>
      <c r="P19" s="47" t="n"/>
      <c r="Q19" s="47" t="n"/>
      <c r="R19" s="50" t="n"/>
      <c r="S19" s="50" t="n"/>
      <c r="T19" s="50" t="n"/>
      <c r="U19" s="50" t="n"/>
      <c r="V19" s="50" t="n"/>
      <c r="W19" s="47" t="n"/>
      <c r="X19" s="47" t="n"/>
      <c r="Y19" s="50" t="n"/>
      <c r="Z19" s="50" t="n"/>
      <c r="AA19" s="50" t="n"/>
      <c r="AB19" s="50" t="n"/>
      <c r="AC19" s="50" t="n"/>
      <c r="AD19" s="47" t="n"/>
      <c r="AE19" s="47" t="n"/>
      <c r="AF19" s="50" t="n"/>
      <c r="AG19" s="50" t="n"/>
      <c r="AH19" s="50" t="n"/>
      <c r="AI19" s="50" t="n"/>
      <c r="AJ19" s="50" t="n"/>
      <c r="AK19" s="47" t="n"/>
      <c r="AL19" s="47" t="n"/>
      <c r="AM19" s="50" t="n"/>
      <c r="AN19" s="50" t="n"/>
      <c r="AO19" s="50" t="n"/>
      <c r="AP19" s="50" t="n"/>
      <c r="AQ19" s="50" t="n"/>
      <c r="AR19" s="47" t="n"/>
      <c r="AS19" s="47" t="n"/>
      <c r="AT19" s="50" t="n"/>
      <c r="AU19" s="50" t="n"/>
      <c r="AV19" s="50" t="n"/>
      <c r="AW19" s="50" t="n"/>
      <c r="AX19" s="50" t="n"/>
      <c r="AY19" s="47" t="n"/>
      <c r="AZ19" s="47" t="n"/>
    </row>
    <row r="20">
      <c r="A20" s="43" t="inlineStr">
        <is>
          <t>Hernanda</t>
        </is>
      </c>
      <c r="B20" s="44" t="inlineStr">
        <is>
          <t>File 8 produk + File 9 asesmen</t>
        </is>
      </c>
      <c r="C20" s="5" t="inlineStr">
        <is>
          <t>rencana</t>
        </is>
      </c>
      <c r="D20" s="45" t="n"/>
      <c r="E20" s="45" t="n"/>
      <c r="F20" s="45" t="n"/>
      <c r="G20" s="45" t="n"/>
      <c r="H20" s="45" t="n"/>
      <c r="I20" s="47" t="n"/>
      <c r="J20" s="47" t="n"/>
      <c r="K20" s="45" t="n"/>
      <c r="L20" s="45" t="n"/>
      <c r="M20" s="51" t="inlineStr">
        <is>
          <t>x</t>
        </is>
      </c>
      <c r="N20" s="51" t="inlineStr">
        <is>
          <t>x</t>
        </is>
      </c>
      <c r="O20" s="51" t="inlineStr">
        <is>
          <t>x</t>
        </is>
      </c>
      <c r="P20" s="51" t="inlineStr">
        <is>
          <t>x</t>
        </is>
      </c>
      <c r="Q20" s="51" t="inlineStr">
        <is>
          <t>x</t>
        </is>
      </c>
      <c r="R20" s="45" t="n"/>
      <c r="S20" s="45" t="n"/>
      <c r="T20" s="45" t="n"/>
      <c r="U20" s="45" t="n"/>
      <c r="V20" s="45" t="n"/>
      <c r="W20" s="47" t="n"/>
      <c r="X20" s="47" t="n"/>
      <c r="Y20" s="45" t="n"/>
      <c r="Z20" s="45" t="n"/>
      <c r="AA20" s="45" t="n"/>
      <c r="AB20" s="45" t="n"/>
      <c r="AC20" s="45" t="n"/>
      <c r="AD20" s="47" t="n"/>
      <c r="AE20" s="47" t="n"/>
      <c r="AF20" s="45" t="n"/>
      <c r="AG20" s="45" t="n"/>
      <c r="AH20" s="45" t="n"/>
      <c r="AI20" s="45" t="n"/>
      <c r="AJ20" s="45" t="n"/>
      <c r="AK20" s="47" t="n"/>
      <c r="AL20" s="47" t="n"/>
      <c r="AM20" s="45" t="n"/>
      <c r="AN20" s="45" t="n"/>
      <c r="AO20" s="45" t="n"/>
      <c r="AP20" s="45" t="n"/>
      <c r="AQ20" s="45" t="n"/>
      <c r="AR20" s="47" t="n"/>
      <c r="AS20" s="47" t="n"/>
      <c r="AT20" s="45" t="n"/>
      <c r="AU20" s="45" t="n"/>
      <c r="AV20" s="45" t="n"/>
      <c r="AW20" s="45" t="n"/>
      <c r="AX20" s="45" t="n"/>
      <c r="AY20" s="47" t="n"/>
      <c r="AZ20" s="47" t="n"/>
    </row>
    <row r="21">
      <c r="A21" s="48" t="inlineStr">
        <is>
          <t>Hernanda</t>
        </is>
      </c>
      <c r="B21" s="49" t="inlineStr">
        <is>
          <t>UC-04a draf simpan profil</t>
        </is>
      </c>
      <c r="C21" s="15" t="inlineStr">
        <is>
          <t>rencana</t>
        </is>
      </c>
      <c r="D21" s="50" t="n"/>
      <c r="E21" s="50" t="n"/>
      <c r="F21" s="50" t="n"/>
      <c r="G21" s="50" t="n"/>
      <c r="H21" s="50" t="n"/>
      <c r="I21" s="47" t="n"/>
      <c r="J21" s="47" t="n"/>
      <c r="K21" s="50" t="n"/>
      <c r="L21" s="50" t="n"/>
      <c r="M21" s="50" t="n"/>
      <c r="N21" s="51" t="inlineStr">
        <is>
          <t>x</t>
        </is>
      </c>
      <c r="O21" s="51" t="inlineStr">
        <is>
          <t>x</t>
        </is>
      </c>
      <c r="P21" s="51" t="inlineStr">
        <is>
          <t>x</t>
        </is>
      </c>
      <c r="Q21" s="51" t="inlineStr">
        <is>
          <t>x</t>
        </is>
      </c>
      <c r="R21" s="50" t="n"/>
      <c r="S21" s="50" t="n"/>
      <c r="T21" s="50" t="n"/>
      <c r="U21" s="50" t="n"/>
      <c r="V21" s="50" t="n"/>
      <c r="W21" s="47" t="n"/>
      <c r="X21" s="47" t="n"/>
      <c r="Y21" s="50" t="n"/>
      <c r="Z21" s="50" t="n"/>
      <c r="AA21" s="50" t="n"/>
      <c r="AB21" s="50" t="n"/>
      <c r="AC21" s="50" t="n"/>
      <c r="AD21" s="47" t="n"/>
      <c r="AE21" s="47" t="n"/>
      <c r="AF21" s="50" t="n"/>
      <c r="AG21" s="50" t="n"/>
      <c r="AH21" s="50" t="n"/>
      <c r="AI21" s="50" t="n"/>
      <c r="AJ21" s="50" t="n"/>
      <c r="AK21" s="47" t="n"/>
      <c r="AL21" s="47" t="n"/>
      <c r="AM21" s="50" t="n"/>
      <c r="AN21" s="50" t="n"/>
      <c r="AO21" s="50" t="n"/>
      <c r="AP21" s="50" t="n"/>
      <c r="AQ21" s="50" t="n"/>
      <c r="AR21" s="47" t="n"/>
      <c r="AS21" s="47" t="n"/>
      <c r="AT21" s="50" t="n"/>
      <c r="AU21" s="50" t="n"/>
      <c r="AV21" s="50" t="n"/>
      <c r="AW21" s="50" t="n"/>
      <c r="AX21" s="50" t="n"/>
      <c r="AY21" s="47" t="n"/>
      <c r="AZ21" s="47" t="n"/>
    </row>
    <row r="22">
      <c r="A22" s="43" t="inlineStr">
        <is>
          <t>Hernanda</t>
        </is>
      </c>
      <c r="B22" s="44" t="inlineStr">
        <is>
          <t>UC-04a/b profil + UC-05a produk + badge</t>
        </is>
      </c>
      <c r="C22" s="5" t="inlineStr">
        <is>
          <t>kritis</t>
        </is>
      </c>
      <c r="D22" s="45" t="n"/>
      <c r="E22" s="45" t="n"/>
      <c r="F22" s="45" t="n"/>
      <c r="G22" s="45" t="n"/>
      <c r="H22" s="45" t="n"/>
      <c r="I22" s="47" t="n"/>
      <c r="J22" s="47" t="n"/>
      <c r="K22" s="45" t="n"/>
      <c r="L22" s="45" t="n"/>
      <c r="M22" s="45" t="n"/>
      <c r="N22" s="45" t="n"/>
      <c r="O22" s="45" t="n"/>
      <c r="P22" s="47" t="n"/>
      <c r="Q22" s="47" t="n"/>
      <c r="R22" s="51" t="inlineStr">
        <is>
          <t>x</t>
        </is>
      </c>
      <c r="S22" s="51" t="inlineStr">
        <is>
          <t>x</t>
        </is>
      </c>
      <c r="T22" s="51" t="inlineStr">
        <is>
          <t>x</t>
        </is>
      </c>
      <c r="U22" s="51" t="inlineStr">
        <is>
          <t>x</t>
        </is>
      </c>
      <c r="V22" s="51" t="inlineStr">
        <is>
          <t>x</t>
        </is>
      </c>
      <c r="W22" s="51" t="inlineStr">
        <is>
          <t>x</t>
        </is>
      </c>
      <c r="X22" s="51" t="inlineStr">
        <is>
          <t>x</t>
        </is>
      </c>
      <c r="Y22" s="45" t="n"/>
      <c r="Z22" s="45" t="n"/>
      <c r="AA22" s="45" t="n"/>
      <c r="AB22" s="45" t="n"/>
      <c r="AC22" s="45" t="n"/>
      <c r="AD22" s="47" t="n"/>
      <c r="AE22" s="47" t="n"/>
      <c r="AF22" s="45" t="n"/>
      <c r="AG22" s="45" t="n"/>
      <c r="AH22" s="45" t="n"/>
      <c r="AI22" s="45" t="n"/>
      <c r="AJ22" s="45" t="n"/>
      <c r="AK22" s="47" t="n"/>
      <c r="AL22" s="47" t="n"/>
      <c r="AM22" s="45" t="n"/>
      <c r="AN22" s="45" t="n"/>
      <c r="AO22" s="45" t="n"/>
      <c r="AP22" s="45" t="n"/>
      <c r="AQ22" s="45" t="n"/>
      <c r="AR22" s="47" t="n"/>
      <c r="AS22" s="47" t="n"/>
      <c r="AT22" s="45" t="n"/>
      <c r="AU22" s="45" t="n"/>
      <c r="AV22" s="45" t="n"/>
      <c r="AW22" s="45" t="n"/>
      <c r="AX22" s="45" t="n"/>
      <c r="AY22" s="47" t="n"/>
      <c r="AZ22" s="47" t="n"/>
    </row>
    <row r="23">
      <c r="A23" s="48" t="inlineStr">
        <is>
          <t>Hernanda</t>
        </is>
      </c>
      <c r="B23" s="49" t="inlineStr">
        <is>
          <t>UC-05b kuesioner simpan jawaban</t>
        </is>
      </c>
      <c r="C23" s="15" t="inlineStr">
        <is>
          <t>kritis</t>
        </is>
      </c>
      <c r="D23" s="50" t="n"/>
      <c r="E23" s="50" t="n"/>
      <c r="F23" s="50" t="n"/>
      <c r="G23" s="50" t="n"/>
      <c r="H23" s="50" t="n"/>
      <c r="I23" s="47" t="n"/>
      <c r="J23" s="47" t="n"/>
      <c r="K23" s="50" t="n"/>
      <c r="L23" s="50" t="n"/>
      <c r="M23" s="50" t="n"/>
      <c r="N23" s="50" t="n"/>
      <c r="O23" s="50" t="n"/>
      <c r="P23" s="47" t="n"/>
      <c r="Q23" s="47" t="n"/>
      <c r="R23" s="50" t="n"/>
      <c r="S23" s="50" t="n"/>
      <c r="T23" s="50" t="n"/>
      <c r="U23" s="50" t="n"/>
      <c r="V23" s="50" t="n"/>
      <c r="W23" s="47" t="n"/>
      <c r="X23" s="47" t="n"/>
      <c r="Y23" s="51" t="inlineStr">
        <is>
          <t>x</t>
        </is>
      </c>
      <c r="Z23" s="51" t="inlineStr">
        <is>
          <t>x</t>
        </is>
      </c>
      <c r="AA23" s="51" t="inlineStr">
        <is>
          <t>x</t>
        </is>
      </c>
      <c r="AB23" s="51" t="inlineStr">
        <is>
          <t>x</t>
        </is>
      </c>
      <c r="AC23" s="51" t="inlineStr">
        <is>
          <t>x</t>
        </is>
      </c>
      <c r="AD23" s="51" t="inlineStr">
        <is>
          <t>x</t>
        </is>
      </c>
      <c r="AE23" s="51" t="inlineStr">
        <is>
          <t>x</t>
        </is>
      </c>
      <c r="AF23" s="50" t="n"/>
      <c r="AG23" s="50" t="n"/>
      <c r="AH23" s="50" t="n"/>
      <c r="AI23" s="50" t="n"/>
      <c r="AJ23" s="50" t="n"/>
      <c r="AK23" s="47" t="n"/>
      <c r="AL23" s="47" t="n"/>
      <c r="AM23" s="50" t="n"/>
      <c r="AN23" s="50" t="n"/>
      <c r="AO23" s="50" t="n"/>
      <c r="AP23" s="50" t="n"/>
      <c r="AQ23" s="50" t="n"/>
      <c r="AR23" s="47" t="n"/>
      <c r="AS23" s="47" t="n"/>
      <c r="AT23" s="50" t="n"/>
      <c r="AU23" s="50" t="n"/>
      <c r="AV23" s="50" t="n"/>
      <c r="AW23" s="50" t="n"/>
      <c r="AX23" s="50" t="n"/>
      <c r="AY23" s="47" t="n"/>
      <c r="AZ23" s="47" t="n"/>
    </row>
    <row r="24">
      <c r="A24" s="43" t="inlineStr">
        <is>
          <t>Hernanda</t>
        </is>
      </c>
      <c r="B24" s="44" t="inlineStr">
        <is>
          <t>UC-09b rekomendasi sendiri + dashboard UMKM</t>
        </is>
      </c>
      <c r="C24" s="5" t="inlineStr">
        <is>
          <t>rencana</t>
        </is>
      </c>
      <c r="D24" s="45" t="n"/>
      <c r="E24" s="45" t="n"/>
      <c r="F24" s="45" t="n"/>
      <c r="G24" s="45" t="n"/>
      <c r="H24" s="45" t="n"/>
      <c r="I24" s="47" t="n"/>
      <c r="J24" s="47" t="n"/>
      <c r="K24" s="45" t="n"/>
      <c r="L24" s="45" t="n"/>
      <c r="M24" s="45" t="n"/>
      <c r="N24" s="45" t="n"/>
      <c r="O24" s="45" t="n"/>
      <c r="P24" s="47" t="n"/>
      <c r="Q24" s="47" t="n"/>
      <c r="R24" s="45" t="n"/>
      <c r="S24" s="45" t="n"/>
      <c r="T24" s="45" t="n"/>
      <c r="U24" s="45" t="n"/>
      <c r="V24" s="45" t="n"/>
      <c r="W24" s="47" t="n"/>
      <c r="X24" s="47" t="n"/>
      <c r="Y24" s="45" t="n"/>
      <c r="Z24" s="45" t="n"/>
      <c r="AA24" s="45" t="n"/>
      <c r="AB24" s="45" t="n"/>
      <c r="AC24" s="45" t="n"/>
      <c r="AD24" s="47" t="n"/>
      <c r="AE24" s="47" t="n"/>
      <c r="AF24" s="51" t="inlineStr">
        <is>
          <t>x</t>
        </is>
      </c>
      <c r="AG24" s="51" t="inlineStr">
        <is>
          <t>x</t>
        </is>
      </c>
      <c r="AH24" s="51" t="inlineStr">
        <is>
          <t>x</t>
        </is>
      </c>
      <c r="AI24" s="51" t="inlineStr">
        <is>
          <t>x</t>
        </is>
      </c>
      <c r="AJ24" s="51" t="inlineStr">
        <is>
          <t>x</t>
        </is>
      </c>
      <c r="AK24" s="51" t="inlineStr">
        <is>
          <t>x</t>
        </is>
      </c>
      <c r="AL24" s="51" t="inlineStr">
        <is>
          <t>x</t>
        </is>
      </c>
      <c r="AM24" s="45" t="n"/>
      <c r="AN24" s="45" t="n"/>
      <c r="AO24" s="45" t="n"/>
      <c r="AP24" s="45" t="n"/>
      <c r="AQ24" s="45" t="n"/>
      <c r="AR24" s="47" t="n"/>
      <c r="AS24" s="47" t="n"/>
      <c r="AT24" s="45" t="n"/>
      <c r="AU24" s="45" t="n"/>
      <c r="AV24" s="45" t="n"/>
      <c r="AW24" s="45" t="n"/>
      <c r="AX24" s="45" t="n"/>
      <c r="AY24" s="47" t="n"/>
      <c r="AZ24" s="47" t="n"/>
    </row>
    <row r="25">
      <c r="A25" s="48" t="inlineStr">
        <is>
          <t>Hernanda</t>
        </is>
      </c>
      <c r="B25" s="49" t="inlineStr">
        <is>
          <t>Rapikan form pelaku, tidak bocor data</t>
        </is>
      </c>
      <c r="C25" s="15" t="inlineStr">
        <is>
          <t>rencana</t>
        </is>
      </c>
      <c r="D25" s="50" t="n"/>
      <c r="E25" s="50" t="n"/>
      <c r="F25" s="50" t="n"/>
      <c r="G25" s="50" t="n"/>
      <c r="H25" s="50" t="n"/>
      <c r="I25" s="47" t="n"/>
      <c r="J25" s="47" t="n"/>
      <c r="K25" s="50" t="n"/>
      <c r="L25" s="50" t="n"/>
      <c r="M25" s="50" t="n"/>
      <c r="N25" s="50" t="n"/>
      <c r="O25" s="50" t="n"/>
      <c r="P25" s="47" t="n"/>
      <c r="Q25" s="47" t="n"/>
      <c r="R25" s="50" t="n"/>
      <c r="S25" s="50" t="n"/>
      <c r="T25" s="50" t="n"/>
      <c r="U25" s="50" t="n"/>
      <c r="V25" s="50" t="n"/>
      <c r="W25" s="47" t="n"/>
      <c r="X25" s="47" t="n"/>
      <c r="Y25" s="50" t="n"/>
      <c r="Z25" s="50" t="n"/>
      <c r="AA25" s="50" t="n"/>
      <c r="AB25" s="50" t="n"/>
      <c r="AC25" s="50" t="n"/>
      <c r="AD25" s="47" t="n"/>
      <c r="AE25" s="47" t="n"/>
      <c r="AF25" s="50" t="n"/>
      <c r="AG25" s="50" t="n"/>
      <c r="AH25" s="50" t="n"/>
      <c r="AI25" s="50" t="n"/>
      <c r="AJ25" s="50" t="n"/>
      <c r="AK25" s="47" t="n"/>
      <c r="AL25" s="47" t="n"/>
      <c r="AM25" s="51" t="inlineStr">
        <is>
          <t>x</t>
        </is>
      </c>
      <c r="AN25" s="51" t="inlineStr">
        <is>
          <t>x</t>
        </is>
      </c>
      <c r="AO25" s="51" t="inlineStr">
        <is>
          <t>x</t>
        </is>
      </c>
      <c r="AP25" s="51" t="inlineStr">
        <is>
          <t>x</t>
        </is>
      </c>
      <c r="AQ25" s="51" t="inlineStr">
        <is>
          <t>x</t>
        </is>
      </c>
      <c r="AR25" s="51" t="inlineStr">
        <is>
          <t>x</t>
        </is>
      </c>
      <c r="AS25" s="51" t="inlineStr">
        <is>
          <t>x</t>
        </is>
      </c>
      <c r="AT25" s="51" t="inlineStr">
        <is>
          <t>x</t>
        </is>
      </c>
      <c r="AU25" s="51" t="inlineStr">
        <is>
          <t>x</t>
        </is>
      </c>
      <c r="AV25" s="51" t="inlineStr">
        <is>
          <t>x</t>
        </is>
      </c>
      <c r="AW25" s="51" t="inlineStr">
        <is>
          <t>x</t>
        </is>
      </c>
      <c r="AX25" s="51" t="inlineStr">
        <is>
          <t>x</t>
        </is>
      </c>
      <c r="AY25" s="51" t="inlineStr">
        <is>
          <t>x</t>
        </is>
      </c>
      <c r="AZ25" s="51" t="inlineStr">
        <is>
          <t>x</t>
        </is>
      </c>
    </row>
    <row r="26">
      <c r="A26" s="43" t="inlineStr">
        <is>
          <t>Nazwa</t>
        </is>
      </c>
      <c r="B26" s="44" t="inlineStr">
        <is>
          <t>File 2 kategori + seeder 5 kategori</t>
        </is>
      </c>
      <c r="C26" s="5" t="inlineStr">
        <is>
          <t>rencana</t>
        </is>
      </c>
      <c r="D26" s="45" t="n"/>
      <c r="E26" s="45" t="n"/>
      <c r="F26" s="45" t="n"/>
      <c r="G26" s="52" t="inlineStr">
        <is>
          <t>x</t>
        </is>
      </c>
      <c r="H26" s="52" t="inlineStr">
        <is>
          <t>x</t>
        </is>
      </c>
      <c r="I26" s="52" t="inlineStr">
        <is>
          <t>x</t>
        </is>
      </c>
      <c r="J26" s="52" t="inlineStr">
        <is>
          <t>x</t>
        </is>
      </c>
      <c r="K26" s="45" t="n"/>
      <c r="L26" s="45" t="n"/>
      <c r="M26" s="45" t="n"/>
      <c r="N26" s="45" t="n"/>
      <c r="O26" s="45" t="n"/>
      <c r="P26" s="47" t="n"/>
      <c r="Q26" s="47" t="n"/>
      <c r="R26" s="45" t="n"/>
      <c r="S26" s="45" t="n"/>
      <c r="T26" s="45" t="n"/>
      <c r="U26" s="45" t="n"/>
      <c r="V26" s="45" t="n"/>
      <c r="W26" s="47" t="n"/>
      <c r="X26" s="47" t="n"/>
      <c r="Y26" s="45" t="n"/>
      <c r="Z26" s="45" t="n"/>
      <c r="AA26" s="45" t="n"/>
      <c r="AB26" s="45" t="n"/>
      <c r="AC26" s="45" t="n"/>
      <c r="AD26" s="47" t="n"/>
      <c r="AE26" s="47" t="n"/>
      <c r="AF26" s="45" t="n"/>
      <c r="AG26" s="45" t="n"/>
      <c r="AH26" s="45" t="n"/>
      <c r="AI26" s="45" t="n"/>
      <c r="AJ26" s="45" t="n"/>
      <c r="AK26" s="47" t="n"/>
      <c r="AL26" s="47" t="n"/>
      <c r="AM26" s="45" t="n"/>
      <c r="AN26" s="45" t="n"/>
      <c r="AO26" s="45" t="n"/>
      <c r="AP26" s="45" t="n"/>
      <c r="AQ26" s="45" t="n"/>
      <c r="AR26" s="47" t="n"/>
      <c r="AS26" s="47" t="n"/>
      <c r="AT26" s="45" t="n"/>
      <c r="AU26" s="45" t="n"/>
      <c r="AV26" s="45" t="n"/>
      <c r="AW26" s="45" t="n"/>
      <c r="AX26" s="45" t="n"/>
      <c r="AY26" s="47" t="n"/>
      <c r="AZ26" s="47" t="n"/>
    </row>
    <row r="27">
      <c r="A27" s="48" t="inlineStr">
        <is>
          <t>Nazwa</t>
        </is>
      </c>
      <c r="B27" s="49" t="inlineStr">
        <is>
          <t>UC-05c CRUD + File 6 soal + File 7 program</t>
        </is>
      </c>
      <c r="C27" s="15" t="inlineStr">
        <is>
          <t>rencana</t>
        </is>
      </c>
      <c r="D27" s="50" t="n"/>
      <c r="E27" s="50" t="n"/>
      <c r="F27" s="50" t="n"/>
      <c r="G27" s="50" t="n"/>
      <c r="H27" s="50" t="n"/>
      <c r="I27" s="47" t="n"/>
      <c r="J27" s="47" t="n"/>
      <c r="K27" s="52" t="inlineStr">
        <is>
          <t>x</t>
        </is>
      </c>
      <c r="L27" s="52" t="inlineStr">
        <is>
          <t>x</t>
        </is>
      </c>
      <c r="M27" s="52" t="inlineStr">
        <is>
          <t>x</t>
        </is>
      </c>
      <c r="N27" s="50" t="n"/>
      <c r="O27" s="50" t="n"/>
      <c r="P27" s="47" t="n"/>
      <c r="Q27" s="47" t="n"/>
      <c r="R27" s="50" t="n"/>
      <c r="S27" s="50" t="n"/>
      <c r="T27" s="50" t="n"/>
      <c r="U27" s="50" t="n"/>
      <c r="V27" s="50" t="n"/>
      <c r="W27" s="47" t="n"/>
      <c r="X27" s="47" t="n"/>
      <c r="Y27" s="50" t="n"/>
      <c r="Z27" s="50" t="n"/>
      <c r="AA27" s="50" t="n"/>
      <c r="AB27" s="50" t="n"/>
      <c r="AC27" s="50" t="n"/>
      <c r="AD27" s="47" t="n"/>
      <c r="AE27" s="47" t="n"/>
      <c r="AF27" s="50" t="n"/>
      <c r="AG27" s="50" t="n"/>
      <c r="AH27" s="50" t="n"/>
      <c r="AI27" s="50" t="n"/>
      <c r="AJ27" s="50" t="n"/>
      <c r="AK27" s="47" t="n"/>
      <c r="AL27" s="47" t="n"/>
      <c r="AM27" s="50" t="n"/>
      <c r="AN27" s="50" t="n"/>
      <c r="AO27" s="50" t="n"/>
      <c r="AP27" s="50" t="n"/>
      <c r="AQ27" s="50" t="n"/>
      <c r="AR27" s="47" t="n"/>
      <c r="AS27" s="47" t="n"/>
      <c r="AT27" s="50" t="n"/>
      <c r="AU27" s="50" t="n"/>
      <c r="AV27" s="50" t="n"/>
      <c r="AW27" s="50" t="n"/>
      <c r="AX27" s="50" t="n"/>
      <c r="AY27" s="47" t="n"/>
      <c r="AZ27" s="47" t="n"/>
    </row>
    <row r="28">
      <c r="A28" s="43" t="inlineStr">
        <is>
          <t>Nazwa</t>
        </is>
      </c>
      <c r="B28" s="44" t="inlineStr">
        <is>
          <t>File 10 opsi + seeder Likert</t>
        </is>
      </c>
      <c r="C28" s="5" t="inlineStr">
        <is>
          <t>rencana</t>
        </is>
      </c>
      <c r="D28" s="45" t="n"/>
      <c r="E28" s="45" t="n"/>
      <c r="F28" s="45" t="n"/>
      <c r="G28" s="45" t="n"/>
      <c r="H28" s="45" t="n"/>
      <c r="I28" s="47" t="n"/>
      <c r="J28" s="47" t="n"/>
      <c r="K28" s="45" t="n"/>
      <c r="L28" s="45" t="n"/>
      <c r="M28" s="45" t="n"/>
      <c r="N28" s="52" t="inlineStr">
        <is>
          <t>x</t>
        </is>
      </c>
      <c r="O28" s="52" t="inlineStr">
        <is>
          <t>x</t>
        </is>
      </c>
      <c r="P28" s="52" t="inlineStr">
        <is>
          <t>x</t>
        </is>
      </c>
      <c r="Q28" s="52" t="inlineStr">
        <is>
          <t>x</t>
        </is>
      </c>
      <c r="R28" s="45" t="n"/>
      <c r="S28" s="45" t="n"/>
      <c r="T28" s="45" t="n"/>
      <c r="U28" s="45" t="n"/>
      <c r="V28" s="45" t="n"/>
      <c r="W28" s="47" t="n"/>
      <c r="X28" s="47" t="n"/>
      <c r="Y28" s="45" t="n"/>
      <c r="Z28" s="45" t="n"/>
      <c r="AA28" s="45" t="n"/>
      <c r="AB28" s="45" t="n"/>
      <c r="AC28" s="45" t="n"/>
      <c r="AD28" s="47" t="n"/>
      <c r="AE28" s="47" t="n"/>
      <c r="AF28" s="45" t="n"/>
      <c r="AG28" s="45" t="n"/>
      <c r="AH28" s="45" t="n"/>
      <c r="AI28" s="45" t="n"/>
      <c r="AJ28" s="45" t="n"/>
      <c r="AK28" s="47" t="n"/>
      <c r="AL28" s="47" t="n"/>
      <c r="AM28" s="45" t="n"/>
      <c r="AN28" s="45" t="n"/>
      <c r="AO28" s="45" t="n"/>
      <c r="AP28" s="45" t="n"/>
      <c r="AQ28" s="45" t="n"/>
      <c r="AR28" s="47" t="n"/>
      <c r="AS28" s="47" t="n"/>
      <c r="AT28" s="45" t="n"/>
      <c r="AU28" s="45" t="n"/>
      <c r="AV28" s="45" t="n"/>
      <c r="AW28" s="45" t="n"/>
      <c r="AX28" s="45" t="n"/>
      <c r="AY28" s="47" t="n"/>
      <c r="AZ28" s="47" t="n"/>
    </row>
    <row r="29">
      <c r="A29" s="48" t="inlineStr">
        <is>
          <t>Nazwa</t>
        </is>
      </c>
      <c r="B29" s="49" t="inlineStr">
        <is>
          <t>UC-04c master UMKM + bank soal + UC-08</t>
        </is>
      </c>
      <c r="C29" s="15" t="inlineStr">
        <is>
          <t>rencana</t>
        </is>
      </c>
      <c r="D29" s="50" t="n"/>
      <c r="E29" s="50" t="n"/>
      <c r="F29" s="50" t="n"/>
      <c r="G29" s="50" t="n"/>
      <c r="H29" s="50" t="n"/>
      <c r="I29" s="47" t="n"/>
      <c r="J29" s="47" t="n"/>
      <c r="K29" s="50" t="n"/>
      <c r="L29" s="50" t="n"/>
      <c r="M29" s="50" t="n"/>
      <c r="N29" s="50" t="n"/>
      <c r="O29" s="50" t="n"/>
      <c r="P29" s="47" t="n"/>
      <c r="Q29" s="47" t="n"/>
      <c r="R29" s="52" t="inlineStr">
        <is>
          <t>x</t>
        </is>
      </c>
      <c r="S29" s="52" t="inlineStr">
        <is>
          <t>x</t>
        </is>
      </c>
      <c r="T29" s="52" t="inlineStr">
        <is>
          <t>x</t>
        </is>
      </c>
      <c r="U29" s="52" t="inlineStr">
        <is>
          <t>x</t>
        </is>
      </c>
      <c r="V29" s="52" t="inlineStr">
        <is>
          <t>x</t>
        </is>
      </c>
      <c r="W29" s="52" t="inlineStr">
        <is>
          <t>x</t>
        </is>
      </c>
      <c r="X29" s="52" t="inlineStr">
        <is>
          <t>x</t>
        </is>
      </c>
      <c r="Y29" s="50" t="n"/>
      <c r="Z29" s="50" t="n"/>
      <c r="AA29" s="50" t="n"/>
      <c r="AB29" s="50" t="n"/>
      <c r="AC29" s="50" t="n"/>
      <c r="AD29" s="47" t="n"/>
      <c r="AE29" s="47" t="n"/>
      <c r="AF29" s="50" t="n"/>
      <c r="AG29" s="50" t="n"/>
      <c r="AH29" s="50" t="n"/>
      <c r="AI29" s="50" t="n"/>
      <c r="AJ29" s="50" t="n"/>
      <c r="AK29" s="47" t="n"/>
      <c r="AL29" s="47" t="n"/>
      <c r="AM29" s="50" t="n"/>
      <c r="AN29" s="50" t="n"/>
      <c r="AO29" s="50" t="n"/>
      <c r="AP29" s="50" t="n"/>
      <c r="AQ29" s="50" t="n"/>
      <c r="AR29" s="47" t="n"/>
      <c r="AS29" s="47" t="n"/>
      <c r="AT29" s="50" t="n"/>
      <c r="AU29" s="50" t="n"/>
      <c r="AV29" s="50" t="n"/>
      <c r="AW29" s="50" t="n"/>
      <c r="AX29" s="50" t="n"/>
      <c r="AY29" s="47" t="n"/>
      <c r="AZ29" s="47" t="n"/>
    </row>
    <row r="30">
      <c r="A30" s="43" t="inlineStr">
        <is>
          <t>Nazwa</t>
        </is>
      </c>
      <c r="B30" s="44" t="inlineStr">
        <is>
          <t>UC-06 verifikasi data mandiri</t>
        </is>
      </c>
      <c r="C30" s="5" t="inlineStr">
        <is>
          <t>rencana</t>
        </is>
      </c>
      <c r="D30" s="45" t="n"/>
      <c r="E30" s="45" t="n"/>
      <c r="F30" s="45" t="n"/>
      <c r="G30" s="45" t="n"/>
      <c r="H30" s="45" t="n"/>
      <c r="I30" s="47" t="n"/>
      <c r="J30" s="47" t="n"/>
      <c r="K30" s="45" t="n"/>
      <c r="L30" s="45" t="n"/>
      <c r="M30" s="45" t="n"/>
      <c r="N30" s="45" t="n"/>
      <c r="O30" s="45" t="n"/>
      <c r="P30" s="47" t="n"/>
      <c r="Q30" s="47" t="n"/>
      <c r="R30" s="45" t="n"/>
      <c r="S30" s="45" t="n"/>
      <c r="T30" s="45" t="n"/>
      <c r="U30" s="45" t="n"/>
      <c r="V30" s="45" t="n"/>
      <c r="W30" s="47" t="n"/>
      <c r="X30" s="47" t="n"/>
      <c r="Y30" s="52" t="inlineStr">
        <is>
          <t>x</t>
        </is>
      </c>
      <c r="Z30" s="52" t="inlineStr">
        <is>
          <t>x</t>
        </is>
      </c>
      <c r="AA30" s="52" t="inlineStr">
        <is>
          <t>x</t>
        </is>
      </c>
      <c r="AB30" s="52" t="inlineStr">
        <is>
          <t>x</t>
        </is>
      </c>
      <c r="AC30" s="52" t="inlineStr">
        <is>
          <t>x</t>
        </is>
      </c>
      <c r="AD30" s="52" t="inlineStr">
        <is>
          <t>x</t>
        </is>
      </c>
      <c r="AE30" s="52" t="inlineStr">
        <is>
          <t>x</t>
        </is>
      </c>
      <c r="AF30" s="45" t="n"/>
      <c r="AG30" s="45" t="n"/>
      <c r="AH30" s="45" t="n"/>
      <c r="AI30" s="45" t="n"/>
      <c r="AJ30" s="45" t="n"/>
      <c r="AK30" s="47" t="n"/>
      <c r="AL30" s="47" t="n"/>
      <c r="AM30" s="45" t="n"/>
      <c r="AN30" s="45" t="n"/>
      <c r="AO30" s="45" t="n"/>
      <c r="AP30" s="45" t="n"/>
      <c r="AQ30" s="45" t="n"/>
      <c r="AR30" s="47" t="n"/>
      <c r="AS30" s="47" t="n"/>
      <c r="AT30" s="45" t="n"/>
      <c r="AU30" s="45" t="n"/>
      <c r="AV30" s="45" t="n"/>
      <c r="AW30" s="45" t="n"/>
      <c r="AX30" s="45" t="n"/>
      <c r="AY30" s="47" t="n"/>
      <c r="AZ30" s="47" t="n"/>
    </row>
    <row r="31">
      <c r="A31" s="48" t="inlineStr">
        <is>
          <t>Nazwa</t>
        </is>
      </c>
      <c r="B31" s="49" t="inlineStr">
        <is>
          <t>UC-09c rekomendasi semua + UC-14b laporan</t>
        </is>
      </c>
      <c r="C31" s="15" t="inlineStr">
        <is>
          <t>rencana</t>
        </is>
      </c>
      <c r="D31" s="50" t="n"/>
      <c r="E31" s="50" t="n"/>
      <c r="F31" s="50" t="n"/>
      <c r="G31" s="50" t="n"/>
      <c r="H31" s="50" t="n"/>
      <c r="I31" s="47" t="n"/>
      <c r="J31" s="47" t="n"/>
      <c r="K31" s="50" t="n"/>
      <c r="L31" s="50" t="n"/>
      <c r="M31" s="50" t="n"/>
      <c r="N31" s="50" t="n"/>
      <c r="O31" s="50" t="n"/>
      <c r="P31" s="47" t="n"/>
      <c r="Q31" s="47" t="n"/>
      <c r="R31" s="50" t="n"/>
      <c r="S31" s="50" t="n"/>
      <c r="T31" s="50" t="n"/>
      <c r="U31" s="50" t="n"/>
      <c r="V31" s="50" t="n"/>
      <c r="W31" s="47" t="n"/>
      <c r="X31" s="47" t="n"/>
      <c r="Y31" s="50" t="n"/>
      <c r="Z31" s="50" t="n"/>
      <c r="AA31" s="50" t="n"/>
      <c r="AB31" s="50" t="n"/>
      <c r="AC31" s="50" t="n"/>
      <c r="AD31" s="47" t="n"/>
      <c r="AE31" s="47" t="n"/>
      <c r="AF31" s="52" t="inlineStr">
        <is>
          <t>x</t>
        </is>
      </c>
      <c r="AG31" s="52" t="inlineStr">
        <is>
          <t>x</t>
        </is>
      </c>
      <c r="AH31" s="52" t="inlineStr">
        <is>
          <t>x</t>
        </is>
      </c>
      <c r="AI31" s="52" t="inlineStr">
        <is>
          <t>x</t>
        </is>
      </c>
      <c r="AJ31" s="52" t="inlineStr">
        <is>
          <t>x</t>
        </is>
      </c>
      <c r="AK31" s="52" t="inlineStr">
        <is>
          <t>x</t>
        </is>
      </c>
      <c r="AL31" s="52" t="inlineStr">
        <is>
          <t>x</t>
        </is>
      </c>
      <c r="AM31" s="50" t="n"/>
      <c r="AN31" s="50" t="n"/>
      <c r="AO31" s="50" t="n"/>
      <c r="AP31" s="50" t="n"/>
      <c r="AQ31" s="50" t="n"/>
      <c r="AR31" s="47" t="n"/>
      <c r="AS31" s="47" t="n"/>
      <c r="AT31" s="50" t="n"/>
      <c r="AU31" s="50" t="n"/>
      <c r="AV31" s="50" t="n"/>
      <c r="AW31" s="50" t="n"/>
      <c r="AX31" s="50" t="n"/>
      <c r="AY31" s="47" t="n"/>
      <c r="AZ31" s="47" t="n"/>
    </row>
    <row r="32">
      <c r="A32" s="43" t="inlineStr">
        <is>
          <t>Nazwa</t>
        </is>
      </c>
      <c r="B32" s="44" t="inlineStr">
        <is>
          <t>UC-15 ekspor PDF/Excel</t>
        </is>
      </c>
      <c r="C32" s="5" t="inlineStr">
        <is>
          <t>rencana</t>
        </is>
      </c>
      <c r="D32" s="45" t="n"/>
      <c r="E32" s="45" t="n"/>
      <c r="F32" s="45" t="n"/>
      <c r="G32" s="45" t="n"/>
      <c r="H32" s="45" t="n"/>
      <c r="I32" s="47" t="n"/>
      <c r="J32" s="47" t="n"/>
      <c r="K32" s="45" t="n"/>
      <c r="L32" s="45" t="n"/>
      <c r="M32" s="45" t="n"/>
      <c r="N32" s="45" t="n"/>
      <c r="O32" s="45" t="n"/>
      <c r="P32" s="47" t="n"/>
      <c r="Q32" s="47" t="n"/>
      <c r="R32" s="45" t="n"/>
      <c r="S32" s="45" t="n"/>
      <c r="T32" s="45" t="n"/>
      <c r="U32" s="45" t="n"/>
      <c r="V32" s="45" t="n"/>
      <c r="W32" s="47" t="n"/>
      <c r="X32" s="47" t="n"/>
      <c r="Y32" s="45" t="n"/>
      <c r="Z32" s="45" t="n"/>
      <c r="AA32" s="45" t="n"/>
      <c r="AB32" s="45" t="n"/>
      <c r="AC32" s="45" t="n"/>
      <c r="AD32" s="47" t="n"/>
      <c r="AE32" s="47" t="n"/>
      <c r="AF32" s="45" t="n"/>
      <c r="AG32" s="45" t="n"/>
      <c r="AH32" s="45" t="n"/>
      <c r="AI32" s="45" t="n"/>
      <c r="AJ32" s="45" t="n"/>
      <c r="AK32" s="47" t="n"/>
      <c r="AL32" s="47" t="n"/>
      <c r="AM32" s="52" t="inlineStr">
        <is>
          <t>x</t>
        </is>
      </c>
      <c r="AN32" s="52" t="inlineStr">
        <is>
          <t>x</t>
        </is>
      </c>
      <c r="AO32" s="52" t="inlineStr">
        <is>
          <t>x</t>
        </is>
      </c>
      <c r="AP32" s="52" t="inlineStr">
        <is>
          <t>x</t>
        </is>
      </c>
      <c r="AQ32" s="52" t="inlineStr">
        <is>
          <t>x</t>
        </is>
      </c>
      <c r="AR32" s="52" t="inlineStr">
        <is>
          <t>x</t>
        </is>
      </c>
      <c r="AS32" s="52" t="inlineStr">
        <is>
          <t>x</t>
        </is>
      </c>
      <c r="AT32" s="52" t="inlineStr">
        <is>
          <t>x</t>
        </is>
      </c>
      <c r="AU32" s="52" t="inlineStr">
        <is>
          <t>x</t>
        </is>
      </c>
      <c r="AV32" s="52" t="inlineStr">
        <is>
          <t>x</t>
        </is>
      </c>
      <c r="AW32" s="52" t="inlineStr">
        <is>
          <t>x</t>
        </is>
      </c>
      <c r="AX32" s="52" t="inlineStr">
        <is>
          <t>x</t>
        </is>
      </c>
      <c r="AY32" s="52" t="inlineStr">
        <is>
          <t>x</t>
        </is>
      </c>
      <c r="AZ32" s="52" t="inlineStr">
        <is>
          <t>x</t>
        </is>
      </c>
    </row>
    <row r="33">
      <c r="A33" s="48" t="inlineStr">
        <is>
          <t>Radith</t>
        </is>
      </c>
      <c r="B33" s="49" t="inlineStr">
        <is>
          <t>UC-13 dashboard petugas data nyata</t>
        </is>
      </c>
      <c r="C33" s="15" t="inlineStr">
        <is>
          <t>rencana</t>
        </is>
      </c>
      <c r="D33" s="50" t="n"/>
      <c r="E33" s="50" t="n"/>
      <c r="F33" s="50" t="n"/>
      <c r="G33" s="84" t="n"/>
      <c r="H33" s="84" t="n"/>
      <c r="I33" s="86" t="n"/>
      <c r="J33" s="86" t="n"/>
      <c r="K33" s="50" t="n"/>
      <c r="L33" s="50" t="n"/>
      <c r="M33" s="50" t="n"/>
      <c r="N33" s="50" t="n"/>
      <c r="O33" s="50" t="n"/>
      <c r="P33" s="47" t="n"/>
      <c r="Q33" s="47" t="n"/>
      <c r="R33" s="50" t="n"/>
      <c r="S33" s="50" t="n"/>
      <c r="T33" s="50" t="n"/>
      <c r="U33" s="50" t="n"/>
      <c r="V33" s="50" t="n"/>
      <c r="W33" s="47" t="n"/>
      <c r="X33" s="47" t="n"/>
      <c r="Y33" s="50" t="n"/>
      <c r="Z33" s="50" t="n"/>
      <c r="AA33" s="50" t="n"/>
      <c r="AB33" s="50" t="n"/>
      <c r="AC33" s="50" t="n"/>
      <c r="AD33" s="47" t="n"/>
      <c r="AE33" s="47" t="n"/>
      <c r="AF33" s="85" t="inlineStr">
        <is>
          <t>x</t>
        </is>
      </c>
      <c r="AG33" s="85" t="inlineStr">
        <is>
          <t>x</t>
        </is>
      </c>
      <c r="AH33" s="85" t="inlineStr">
        <is>
          <t>x</t>
        </is>
      </c>
      <c r="AI33" s="85" t="inlineStr">
        <is>
          <t>x</t>
        </is>
      </c>
      <c r="AJ33" s="85" t="inlineStr">
        <is>
          <t>x</t>
        </is>
      </c>
      <c r="AK33" s="85" t="inlineStr">
        <is>
          <t>x</t>
        </is>
      </c>
      <c r="AL33" s="85" t="inlineStr">
        <is>
          <t>x</t>
        </is>
      </c>
      <c r="AM33" s="50" t="n"/>
      <c r="AN33" s="50" t="n"/>
      <c r="AO33" s="50" t="n"/>
      <c r="AP33" s="50" t="n"/>
      <c r="AQ33" s="50" t="n"/>
      <c r="AR33" s="47" t="n"/>
      <c r="AS33" s="47" t="n"/>
      <c r="AT33" s="50" t="n"/>
      <c r="AU33" s="50" t="n"/>
      <c r="AV33" s="50" t="n"/>
      <c r="AW33" s="50" t="n"/>
      <c r="AX33" s="50" t="n"/>
      <c r="AY33" s="47" t="n"/>
      <c r="AZ33" s="47" t="n"/>
    </row>
    <row r="34">
      <c r="A34" s="43" t="inlineStr">
        <is>
          <t>Radith</t>
        </is>
      </c>
      <c r="B34" s="44" t="inlineStr">
        <is>
          <t>File 11 pivot program–kategori</t>
        </is>
      </c>
      <c r="C34" s="5" t="inlineStr">
        <is>
          <t>rencana</t>
        </is>
      </c>
      <c r="D34" s="45" t="n"/>
      <c r="E34" s="45" t="n"/>
      <c r="F34" s="45" t="n"/>
      <c r="G34" s="45" t="n"/>
      <c r="H34" s="45" t="n"/>
      <c r="I34" s="47" t="n"/>
      <c r="J34" s="47" t="n"/>
      <c r="K34" s="53" t="inlineStr">
        <is>
          <t>x</t>
        </is>
      </c>
      <c r="L34" s="53" t="inlineStr">
        <is>
          <t>x</t>
        </is>
      </c>
      <c r="M34" s="53" t="inlineStr">
        <is>
          <t>x</t>
        </is>
      </c>
      <c r="N34" s="45" t="n"/>
      <c r="O34" s="45" t="n"/>
      <c r="P34" s="47" t="n"/>
      <c r="Q34" s="47" t="n"/>
      <c r="R34" s="45" t="n"/>
      <c r="S34" s="45" t="n"/>
      <c r="T34" s="45" t="n"/>
      <c r="U34" s="45" t="n"/>
      <c r="V34" s="45" t="n"/>
      <c r="W34" s="47" t="n"/>
      <c r="X34" s="47" t="n"/>
      <c r="Y34" s="45" t="n"/>
      <c r="Z34" s="45" t="n"/>
      <c r="AA34" s="45" t="n"/>
      <c r="AB34" s="45" t="n"/>
      <c r="AC34" s="45" t="n"/>
      <c r="AD34" s="47" t="n"/>
      <c r="AE34" s="47" t="n"/>
      <c r="AF34" s="45" t="n"/>
      <c r="AG34" s="45" t="n"/>
      <c r="AH34" s="45" t="n"/>
      <c r="AI34" s="45" t="n"/>
      <c r="AJ34" s="45" t="n"/>
      <c r="AK34" s="47" t="n"/>
      <c r="AL34" s="47" t="n"/>
      <c r="AM34" s="45" t="n"/>
      <c r="AN34" s="45" t="n"/>
      <c r="AO34" s="45" t="n"/>
      <c r="AP34" s="45" t="n"/>
      <c r="AQ34" s="45" t="n"/>
      <c r="AR34" s="47" t="n"/>
      <c r="AS34" s="47" t="n"/>
      <c r="AT34" s="45" t="n"/>
      <c r="AU34" s="45" t="n"/>
      <c r="AV34" s="45" t="n"/>
      <c r="AW34" s="45" t="n"/>
      <c r="AX34" s="45" t="n"/>
      <c r="AY34" s="47" t="n"/>
      <c r="AZ34" s="47" t="n"/>
    </row>
    <row r="35">
      <c r="A35" s="48" t="inlineStr">
        <is>
          <t>Radith</t>
        </is>
      </c>
      <c r="B35" s="49" t="inlineStr">
        <is>
          <t>File 12 assessment_answers</t>
        </is>
      </c>
      <c r="C35" s="15" t="inlineStr">
        <is>
          <t>rencana</t>
        </is>
      </c>
      <c r="D35" s="50" t="n"/>
      <c r="E35" s="50" t="n"/>
      <c r="F35" s="50" t="n"/>
      <c r="G35" s="50" t="n"/>
      <c r="H35" s="50" t="n"/>
      <c r="I35" s="47" t="n"/>
      <c r="J35" s="47" t="n"/>
      <c r="K35" s="50" t="n"/>
      <c r="L35" s="50" t="n"/>
      <c r="M35" s="50" t="n"/>
      <c r="N35" s="53" t="inlineStr">
        <is>
          <t>x</t>
        </is>
      </c>
      <c r="O35" s="53" t="inlineStr">
        <is>
          <t>x</t>
        </is>
      </c>
      <c r="P35" s="53" t="inlineStr">
        <is>
          <t>x</t>
        </is>
      </c>
      <c r="Q35" s="53" t="inlineStr">
        <is>
          <t>x</t>
        </is>
      </c>
      <c r="R35" s="50" t="n"/>
      <c r="S35" s="50" t="n"/>
      <c r="T35" s="50" t="n"/>
      <c r="U35" s="50" t="n"/>
      <c r="V35" s="50" t="n"/>
      <c r="W35" s="47" t="n"/>
      <c r="X35" s="47" t="n"/>
      <c r="Y35" s="50" t="n"/>
      <c r="Z35" s="50" t="n"/>
      <c r="AA35" s="50" t="n"/>
      <c r="AB35" s="50" t="n"/>
      <c r="AC35" s="50" t="n"/>
      <c r="AD35" s="47" t="n"/>
      <c r="AE35" s="47" t="n"/>
      <c r="AF35" s="50" t="n"/>
      <c r="AG35" s="50" t="n"/>
      <c r="AH35" s="50" t="n"/>
      <c r="AI35" s="50" t="n"/>
      <c r="AJ35" s="50" t="n"/>
      <c r="AK35" s="47" t="n"/>
      <c r="AL35" s="47" t="n"/>
      <c r="AM35" s="50" t="n"/>
      <c r="AN35" s="50" t="n"/>
      <c r="AO35" s="50" t="n"/>
      <c r="AP35" s="50" t="n"/>
      <c r="AQ35" s="50" t="n"/>
      <c r="AR35" s="47" t="n"/>
      <c r="AS35" s="47" t="n"/>
      <c r="AT35" s="50" t="n"/>
      <c r="AU35" s="50" t="n"/>
      <c r="AV35" s="50" t="n"/>
      <c r="AW35" s="50" t="n"/>
      <c r="AX35" s="50" t="n"/>
      <c r="AY35" s="47" t="n"/>
      <c r="AZ35" s="47" t="n"/>
    </row>
    <row r="36">
      <c r="A36" s="43" t="inlineStr">
        <is>
          <t>Radith</t>
        </is>
      </c>
      <c r="B36" s="44" t="inlineStr">
        <is>
          <t>UC-14a dashboard pimpinan UI</t>
        </is>
      </c>
      <c r="C36" s="5" t="inlineStr">
        <is>
          <t>rencana</t>
        </is>
      </c>
      <c r="D36" s="45" t="n"/>
      <c r="E36" s="45" t="n"/>
      <c r="F36" s="45" t="n"/>
      <c r="G36" s="45" t="n"/>
      <c r="H36" s="45" t="n"/>
      <c r="I36" s="47" t="n"/>
      <c r="J36" s="47" t="n"/>
      <c r="K36" s="45" t="n"/>
      <c r="L36" s="45" t="n"/>
      <c r="M36" s="45" t="n"/>
      <c r="N36" s="45" t="n"/>
      <c r="O36" s="45" t="n"/>
      <c r="P36" s="47" t="n"/>
      <c r="Q36" s="47" t="n"/>
      <c r="R36" s="53" t="inlineStr">
        <is>
          <t>x</t>
        </is>
      </c>
      <c r="S36" s="53" t="inlineStr">
        <is>
          <t>x</t>
        </is>
      </c>
      <c r="T36" s="53" t="inlineStr">
        <is>
          <t>x</t>
        </is>
      </c>
      <c r="U36" s="53" t="inlineStr">
        <is>
          <t>x</t>
        </is>
      </c>
      <c r="V36" s="53" t="inlineStr">
        <is>
          <t>x</t>
        </is>
      </c>
      <c r="W36" s="53" t="inlineStr">
        <is>
          <t>x</t>
        </is>
      </c>
      <c r="X36" s="53" t="inlineStr">
        <is>
          <t>x</t>
        </is>
      </c>
      <c r="Y36" s="45" t="n"/>
      <c r="Z36" s="45" t="n"/>
      <c r="AA36" s="45" t="n"/>
      <c r="AB36" s="45" t="n"/>
      <c r="AC36" s="45" t="n"/>
      <c r="AD36" s="47" t="n"/>
      <c r="AE36" s="47" t="n"/>
      <c r="AF36" s="45" t="n"/>
      <c r="AG36" s="45" t="n"/>
      <c r="AH36" s="45" t="n"/>
      <c r="AI36" s="45" t="n"/>
      <c r="AJ36" s="45" t="n"/>
      <c r="AK36" s="47" t="n"/>
      <c r="AL36" s="47" t="n"/>
      <c r="AM36" s="45" t="n"/>
      <c r="AN36" s="45" t="n"/>
      <c r="AO36" s="45" t="n"/>
      <c r="AP36" s="45" t="n"/>
      <c r="AQ36" s="45" t="n"/>
      <c r="AR36" s="47" t="n"/>
      <c r="AS36" s="47" t="n"/>
      <c r="AT36" s="45" t="n"/>
      <c r="AU36" s="45" t="n"/>
      <c r="AV36" s="45" t="n"/>
      <c r="AW36" s="45" t="n"/>
      <c r="AX36" s="45" t="n"/>
      <c r="AY36" s="47" t="n"/>
      <c r="AZ36" s="47" t="n"/>
    </row>
    <row r="37">
      <c r="A37" s="48" t="inlineStr">
        <is>
          <t>Radith</t>
        </is>
      </c>
      <c r="B37" s="49" t="inlineStr">
        <is>
          <t>File 16 coaching + UI UC-10</t>
        </is>
      </c>
      <c r="C37" s="15" t="inlineStr">
        <is>
          <t>rencana</t>
        </is>
      </c>
      <c r="D37" s="50" t="n"/>
      <c r="E37" s="50" t="n"/>
      <c r="F37" s="50" t="n"/>
      <c r="G37" s="50" t="n"/>
      <c r="H37" s="50" t="n"/>
      <c r="I37" s="47" t="n"/>
      <c r="J37" s="47" t="n"/>
      <c r="K37" s="50" t="n"/>
      <c r="L37" s="50" t="n"/>
      <c r="M37" s="50" t="n"/>
      <c r="N37" s="50" t="n"/>
      <c r="O37" s="50" t="n"/>
      <c r="P37" s="47" t="n"/>
      <c r="Q37" s="47" t="n"/>
      <c r="R37" s="50" t="n"/>
      <c r="S37" s="50" t="n"/>
      <c r="T37" s="50" t="n"/>
      <c r="U37" s="50" t="n"/>
      <c r="V37" s="50" t="n"/>
      <c r="W37" s="47" t="n"/>
      <c r="X37" s="47" t="n"/>
      <c r="Y37" s="53" t="inlineStr">
        <is>
          <t>x</t>
        </is>
      </c>
      <c r="Z37" s="53" t="inlineStr">
        <is>
          <t>x</t>
        </is>
      </c>
      <c r="AA37" s="53" t="inlineStr">
        <is>
          <t>x</t>
        </is>
      </c>
      <c r="AB37" s="53" t="inlineStr">
        <is>
          <t>x</t>
        </is>
      </c>
      <c r="AC37" s="53" t="inlineStr">
        <is>
          <t>x</t>
        </is>
      </c>
      <c r="AD37" s="53" t="inlineStr">
        <is>
          <t>x</t>
        </is>
      </c>
      <c r="AE37" s="53" t="inlineStr">
        <is>
          <t>x</t>
        </is>
      </c>
      <c r="AF37" s="50" t="n"/>
      <c r="AG37" s="50" t="n"/>
      <c r="AH37" s="50" t="n"/>
      <c r="AI37" s="50" t="n"/>
      <c r="AJ37" s="50" t="n"/>
      <c r="AK37" s="47" t="n"/>
      <c r="AL37" s="47" t="n"/>
      <c r="AM37" s="50" t="n"/>
      <c r="AN37" s="50" t="n"/>
      <c r="AO37" s="50" t="n"/>
      <c r="AP37" s="50" t="n"/>
      <c r="AQ37" s="50" t="n"/>
      <c r="AR37" s="47" t="n"/>
      <c r="AS37" s="47" t="n"/>
      <c r="AT37" s="50" t="n"/>
      <c r="AU37" s="50" t="n"/>
      <c r="AV37" s="50" t="n"/>
      <c r="AW37" s="50" t="n"/>
      <c r="AX37" s="50" t="n"/>
      <c r="AY37" s="47" t="n"/>
      <c r="AZ37" s="47" t="n"/>
    </row>
    <row r="38">
      <c r="A38" s="43" t="inlineStr">
        <is>
          <t>Radith</t>
        </is>
      </c>
      <c r="B38" s="44" t="inlineStr">
        <is>
          <t>UC-10 ajukan + UC-11 setujui/tolak</t>
        </is>
      </c>
      <c r="C38" s="5" t="inlineStr">
        <is>
          <t>kritis</t>
        </is>
      </c>
      <c r="D38" s="45" t="n"/>
      <c r="E38" s="45" t="n"/>
      <c r="F38" s="45" t="n"/>
      <c r="G38" s="45" t="n"/>
      <c r="H38" s="45" t="n"/>
      <c r="I38" s="47" t="n"/>
      <c r="J38" s="47" t="n"/>
      <c r="K38" s="45" t="n"/>
      <c r="L38" s="45" t="n"/>
      <c r="M38" s="45" t="n"/>
      <c r="N38" s="45" t="n"/>
      <c r="O38" s="45" t="n"/>
      <c r="P38" s="47" t="n"/>
      <c r="Q38" s="47" t="n"/>
      <c r="R38" s="45" t="n"/>
      <c r="S38" s="45" t="n"/>
      <c r="T38" s="45" t="n"/>
      <c r="U38" s="45" t="n"/>
      <c r="V38" s="45" t="n"/>
      <c r="W38" s="47" t="n"/>
      <c r="X38" s="47" t="n"/>
      <c r="Y38" s="45" t="n"/>
      <c r="Z38" s="45" t="n"/>
      <c r="AA38" s="45" t="n"/>
      <c r="AB38" s="45" t="n"/>
      <c r="AC38" s="45" t="n"/>
      <c r="AD38" s="47" t="n"/>
      <c r="AE38" s="47" t="n"/>
      <c r="AF38" s="53" t="inlineStr">
        <is>
          <t>x</t>
        </is>
      </c>
      <c r="AG38" s="53" t="inlineStr">
        <is>
          <t>x</t>
        </is>
      </c>
      <c r="AH38" s="53" t="inlineStr">
        <is>
          <t>x</t>
        </is>
      </c>
      <c r="AI38" s="53" t="inlineStr">
        <is>
          <t>x</t>
        </is>
      </c>
      <c r="AJ38" s="53" t="inlineStr">
        <is>
          <t>x</t>
        </is>
      </c>
      <c r="AK38" s="53" t="inlineStr">
        <is>
          <t>x</t>
        </is>
      </c>
      <c r="AL38" s="53" t="inlineStr">
        <is>
          <t>x</t>
        </is>
      </c>
      <c r="AM38" s="45" t="n"/>
      <c r="AN38" s="45" t="n"/>
      <c r="AO38" s="45" t="n"/>
      <c r="AP38" s="45" t="n"/>
      <c r="AQ38" s="45" t="n"/>
      <c r="AR38" s="47" t="n"/>
      <c r="AS38" s="47" t="n"/>
      <c r="AT38" s="45" t="n"/>
      <c r="AU38" s="45" t="n"/>
      <c r="AV38" s="45" t="n"/>
      <c r="AW38" s="45" t="n"/>
      <c r="AX38" s="45" t="n"/>
      <c r="AY38" s="47" t="n"/>
      <c r="AZ38" s="47" t="n"/>
    </row>
    <row r="39">
      <c r="A39" s="48" t="inlineStr">
        <is>
          <t>Radith</t>
        </is>
      </c>
      <c r="B39" s="49" t="inlineStr">
        <is>
          <t>UC-12 pembinaan + monitoring + riwayat</t>
        </is>
      </c>
      <c r="C39" s="15" t="inlineStr">
        <is>
          <t>rencana</t>
        </is>
      </c>
      <c r="D39" s="50" t="n"/>
      <c r="E39" s="50" t="n"/>
      <c r="F39" s="50" t="n"/>
      <c r="G39" s="50" t="n"/>
      <c r="H39" s="50" t="n"/>
      <c r="I39" s="47" t="n"/>
      <c r="J39" s="47" t="n"/>
      <c r="K39" s="50" t="n"/>
      <c r="L39" s="50" t="n"/>
      <c r="M39" s="50" t="n"/>
      <c r="N39" s="50" t="n"/>
      <c r="O39" s="50" t="n"/>
      <c r="P39" s="47" t="n"/>
      <c r="Q39" s="47" t="n"/>
      <c r="R39" s="50" t="n"/>
      <c r="S39" s="50" t="n"/>
      <c r="T39" s="50" t="n"/>
      <c r="U39" s="50" t="n"/>
      <c r="V39" s="50" t="n"/>
      <c r="W39" s="47" t="n"/>
      <c r="X39" s="47" t="n"/>
      <c r="Y39" s="50" t="n"/>
      <c r="Z39" s="50" t="n"/>
      <c r="AA39" s="50" t="n"/>
      <c r="AB39" s="50" t="n"/>
      <c r="AC39" s="50" t="n"/>
      <c r="AD39" s="47" t="n"/>
      <c r="AE39" s="47" t="n"/>
      <c r="AF39" s="50" t="n"/>
      <c r="AG39" s="50" t="n"/>
      <c r="AH39" s="50" t="n"/>
      <c r="AI39" s="50" t="n"/>
      <c r="AJ39" s="50" t="n"/>
      <c r="AK39" s="47" t="n"/>
      <c r="AL39" s="47" t="n"/>
      <c r="AM39" s="53" t="inlineStr">
        <is>
          <t>x</t>
        </is>
      </c>
      <c r="AN39" s="53" t="inlineStr">
        <is>
          <t>x</t>
        </is>
      </c>
      <c r="AO39" s="53" t="inlineStr">
        <is>
          <t>x</t>
        </is>
      </c>
      <c r="AP39" s="53" t="inlineStr">
        <is>
          <t>x</t>
        </is>
      </c>
      <c r="AQ39" s="53" t="inlineStr">
        <is>
          <t>x</t>
        </is>
      </c>
      <c r="AR39" s="53" t="inlineStr">
        <is>
          <t>x</t>
        </is>
      </c>
      <c r="AS39" s="53" t="inlineStr">
        <is>
          <t>x</t>
        </is>
      </c>
      <c r="AT39" s="50" t="n"/>
      <c r="AU39" s="50" t="n"/>
      <c r="AV39" s="50" t="n"/>
      <c r="AW39" s="50" t="n"/>
      <c r="AX39" s="50" t="n"/>
      <c r="AY39" s="47" t="n"/>
      <c r="AZ39" s="47" t="n"/>
    </row>
    <row r="40">
      <c r="A40" s="43" t="inlineStr">
        <is>
          <t>Radith</t>
        </is>
      </c>
      <c r="B40" s="44" t="inlineStr">
        <is>
          <t>Dashboard pimpinan data nyata</t>
        </is>
      </c>
      <c r="C40" s="5" t="inlineStr">
        <is>
          <t>rencana</t>
        </is>
      </c>
      <c r="D40" s="45" t="n"/>
      <c r="E40" s="45" t="n"/>
      <c r="F40" s="45" t="n"/>
      <c r="G40" s="45" t="n"/>
      <c r="H40" s="45" t="n"/>
      <c r="I40" s="47" t="n"/>
      <c r="J40" s="47" t="n"/>
      <c r="K40" s="45" t="n"/>
      <c r="L40" s="45" t="n"/>
      <c r="M40" s="45" t="n"/>
      <c r="N40" s="45" t="n"/>
      <c r="O40" s="45" t="n"/>
      <c r="P40" s="47" t="n"/>
      <c r="Q40" s="47" t="n"/>
      <c r="R40" s="45" t="n"/>
      <c r="S40" s="45" t="n"/>
      <c r="T40" s="45" t="n"/>
      <c r="U40" s="45" t="n"/>
      <c r="V40" s="45" t="n"/>
      <c r="W40" s="47" t="n"/>
      <c r="X40" s="47" t="n"/>
      <c r="Y40" s="45" t="n"/>
      <c r="Z40" s="45" t="n"/>
      <c r="AA40" s="45" t="n"/>
      <c r="AB40" s="45" t="n"/>
      <c r="AC40" s="45" t="n"/>
      <c r="AD40" s="47" t="n"/>
      <c r="AE40" s="47" t="n"/>
      <c r="AF40" s="45" t="n"/>
      <c r="AG40" s="45" t="n"/>
      <c r="AH40" s="45" t="n"/>
      <c r="AI40" s="45" t="n"/>
      <c r="AJ40" s="45" t="n"/>
      <c r="AK40" s="47" t="n"/>
      <c r="AL40" s="47" t="n"/>
      <c r="AM40" s="45" t="n"/>
      <c r="AN40" s="45" t="n"/>
      <c r="AO40" s="45" t="n"/>
      <c r="AP40" s="45" t="n"/>
      <c r="AQ40" s="45" t="n"/>
      <c r="AR40" s="47" t="n"/>
      <c r="AS40" s="47" t="n"/>
      <c r="AT40" s="53" t="inlineStr">
        <is>
          <t>x</t>
        </is>
      </c>
      <c r="AU40" s="53" t="inlineStr">
        <is>
          <t>x</t>
        </is>
      </c>
      <c r="AV40" s="53" t="inlineStr">
        <is>
          <t>x</t>
        </is>
      </c>
      <c r="AW40" s="53" t="inlineStr">
        <is>
          <t>x</t>
        </is>
      </c>
      <c r="AX40" s="53" t="inlineStr">
        <is>
          <t>x</t>
        </is>
      </c>
      <c r="AY40" s="53" t="inlineStr">
        <is>
          <t>x</t>
        </is>
      </c>
      <c r="AZ40" s="53" t="inlineStr">
        <is>
          <t>x</t>
        </is>
      </c>
    </row>
  </sheetData>
  <mergeCells count="16">
    <mergeCell ref="K5:Q5"/>
    <mergeCell ref="AF5:AL5"/>
    <mergeCell ref="AM5:AS5"/>
    <mergeCell ref="AT5:AZ5"/>
    <mergeCell ref="A1:AZ1"/>
    <mergeCell ref="A5:C5"/>
    <mergeCell ref="AL4:AZ4"/>
    <mergeCell ref="R5:X5"/>
    <mergeCell ref="D4:F4"/>
    <mergeCell ref="A6:C6"/>
    <mergeCell ref="A2:AZ2"/>
    <mergeCell ref="A7:C7"/>
    <mergeCell ref="A4:C4"/>
    <mergeCell ref="G4:AK4"/>
    <mergeCell ref="D5:J5"/>
    <mergeCell ref="Y5:AE5"/>
  </mergeCells>
  <conditionalFormatting sqref="D4:AZ8">
    <cfRule type="expression" priority="3" dxfId="2">
      <formula>INT(D$7)=TODAY()</formula>
    </cfRule>
  </conditionalFormatting>
  <conditionalFormatting sqref="D9:AZ40">
    <cfRule type="expression" priority="4" dxfId="3">
      <formula>AND(INT(D$7)=TODAY(),D9="")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42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>
      <c r="A1" s="1" t="inlineStr">
        <is>
          <t>Kalender harian — siapa mengerjakan apa</t>
        </is>
      </c>
      <c r="B1" s="61" t="n"/>
      <c r="C1" s="61" t="n"/>
      <c r="D1" s="61" t="n"/>
      <c r="E1" s="61" t="n"/>
      <c r="F1" s="61" t="n"/>
      <c r="G1" s="61" t="n"/>
      <c r="H1" s="62" t="n"/>
    </row>
    <row r="2" ht="32" customHeight="1">
      <c r="A2" s="2" t="inlineStr">
        <is>
          <t>Satu baris = satu tanggal. Baris kuning = hari ini (rumus TODAY). Filter Hari = Selasa untuk tanggal laporan. Warna nama anggota di header tetap.</t>
        </is>
      </c>
      <c r="B2" s="61" t="n"/>
      <c r="C2" s="61" t="n"/>
      <c r="D2" s="61" t="n"/>
      <c r="E2" s="61" t="n"/>
      <c r="F2" s="61" t="n"/>
      <c r="G2" s="61" t="n"/>
      <c r="H2" s="62" t="n"/>
    </row>
    <row r="4">
      <c r="A4" s="31" t="inlineStr">
        <is>
          <t>Tanggal</t>
        </is>
      </c>
      <c r="B4" s="31" t="inlineStr">
        <is>
          <t>Hari</t>
        </is>
      </c>
      <c r="C4" s="31" t="inlineStr">
        <is>
          <t>Minggu</t>
        </is>
      </c>
      <c r="D4" s="31" t="inlineStr">
        <is>
          <t>Dosen</t>
        </is>
      </c>
      <c r="E4" s="31" t="inlineStr">
        <is>
          <t>Daffa</t>
        </is>
      </c>
      <c r="F4" s="31" t="inlineStr">
        <is>
          <t>Hernanda</t>
        </is>
      </c>
      <c r="G4" s="31" t="inlineStr">
        <is>
          <t>Nazwa</t>
        </is>
      </c>
      <c r="H4" s="31" t="inlineStr">
        <is>
          <t>Radith</t>
        </is>
      </c>
    </row>
    <row r="5" ht="18" customHeight="1">
      <c r="A5" s="79" t="n">
        <v>46293</v>
      </c>
      <c r="B5" s="49" t="inlineStr">
        <is>
          <t>Senin</t>
        </is>
      </c>
      <c r="C5" s="55" t="inlineStr">
        <is>
          <t>M6</t>
        </is>
      </c>
      <c r="D5" s="56">
        <f>TRIM(IF(INT(A5)=TODAY(),"hari ini ","")&amp;"")</f>
        <v/>
      </c>
      <c r="E5" s="56" t="n"/>
      <c r="F5" s="56" t="inlineStr">
        <is>
          <t>File 3 jenis usaha + seeder</t>
        </is>
      </c>
      <c r="G5" s="56" t="n"/>
      <c r="H5" s="56" t="n"/>
    </row>
    <row r="6" ht="18" customHeight="1">
      <c r="A6" s="79" t="n">
        <v>46294</v>
      </c>
      <c r="B6" s="49" t="inlineStr">
        <is>
          <t>Selasa</t>
        </is>
      </c>
      <c r="C6" s="55" t="inlineStr">
        <is>
          <t>M6</t>
        </is>
      </c>
      <c r="D6" s="56">
        <f>TRIM(IF(INT(A6)=TODAY(),"hari ini ","")&amp;"")</f>
        <v/>
      </c>
      <c r="E6" s="56" t="n"/>
      <c r="F6" s="56" t="inlineStr">
        <is>
          <t>File 3 jenis usaha + seeder</t>
        </is>
      </c>
      <c r="G6" s="56" t="n"/>
      <c r="H6" s="56" t="n"/>
    </row>
    <row r="7" ht="18" customHeight="1">
      <c r="A7" s="79" t="n">
        <v>46295</v>
      </c>
      <c r="B7" s="49" t="inlineStr">
        <is>
          <t>Rabu</t>
        </is>
      </c>
      <c r="C7" s="55" t="inlineStr">
        <is>
          <t>M6</t>
        </is>
      </c>
      <c r="D7" s="56">
        <f>TRIM(IF(INT(A7)=TODAY(),"hari ini ","")&amp;"")</f>
        <v/>
      </c>
      <c r="E7" s="56" t="n"/>
      <c r="F7" s="56" t="inlineStr">
        <is>
          <t>File 3 jenis usaha + seeder</t>
        </is>
      </c>
      <c r="G7" s="56" t="n"/>
      <c r="H7" s="56" t="n"/>
    </row>
    <row r="8" ht="18" customHeight="1">
      <c r="A8" s="79" t="n">
        <v>46296</v>
      </c>
      <c r="B8" s="49" t="inlineStr">
        <is>
          <t>Kamis</t>
        </is>
      </c>
      <c r="C8" s="55" t="inlineStr">
        <is>
          <t>M6</t>
        </is>
      </c>
      <c r="D8" s="56">
        <f>TRIM(IF(INT(A8)=TODAY(),"hari ini ","")&amp;"")</f>
        <v/>
      </c>
      <c r="E8" s="56" t="inlineStr">
        <is>
          <t>File 1 users + File 4 social_accounts · Shell navigasi</t>
        </is>
      </c>
      <c r="F8" s="56" t="n"/>
      <c r="G8" s="56" t="inlineStr">
        <is>
          <t>File 2 kategori + seeder 5 kategori</t>
        </is>
      </c>
      <c r="H8" s="56" t="n"/>
    </row>
    <row r="9" ht="18" customHeight="1">
      <c r="A9" s="79" t="n">
        <v>46297</v>
      </c>
      <c r="B9" s="49" t="inlineStr">
        <is>
          <t>Jumat</t>
        </is>
      </c>
      <c r="C9" s="55" t="inlineStr">
        <is>
          <t>M6</t>
        </is>
      </c>
      <c r="D9" s="56">
        <f>TRIM(IF(INT(A9)=TODAY(),"hari ini ","")&amp;"")</f>
        <v/>
      </c>
      <c r="E9" s="56" t="inlineStr">
        <is>
          <t>File 1 users + File 4 social_accounts · Shell navigasi</t>
        </is>
      </c>
      <c r="F9" s="56" t="n"/>
      <c r="G9" s="56" t="inlineStr">
        <is>
          <t>File 2 kategori + seeder 5 kategori</t>
        </is>
      </c>
      <c r="H9" s="56" t="n"/>
    </row>
    <row r="10" ht="18" customHeight="1">
      <c r="A10" s="80" t="n">
        <v>46298</v>
      </c>
      <c r="B10" s="58" t="inlineStr">
        <is>
          <t>Sabtu</t>
        </is>
      </c>
      <c r="C10" s="59" t="inlineStr">
        <is>
          <t>M6</t>
        </is>
      </c>
      <c r="D10" s="60">
        <f>TRIM(IF(INT(A10)=TODAY(),"hari ini ","")&amp;"")</f>
        <v/>
      </c>
      <c r="E10" s="60" t="inlineStr">
        <is>
          <t>File 1 users + File 4 social_accounts · Shell navigasi</t>
        </is>
      </c>
      <c r="F10" s="60" t="inlineStr">
        <is>
          <t>File 5 businesses (nunggu File 1)</t>
        </is>
      </c>
      <c r="G10" s="60" t="inlineStr">
        <is>
          <t>File 2 kategori + seeder 5 kategori</t>
        </is>
      </c>
      <c r="H10" s="60" t="n"/>
    </row>
    <row r="11" ht="18" customHeight="1">
      <c r="A11" s="80" t="n">
        <v>46299</v>
      </c>
      <c r="B11" s="58" t="inlineStr">
        <is>
          <t>Minggu</t>
        </is>
      </c>
      <c r="C11" s="59" t="inlineStr">
        <is>
          <t>M6</t>
        </is>
      </c>
      <c r="D11" s="60">
        <f>TRIM(IF(INT(A11)=TODAY(),"hari ini ","")&amp;"")</f>
        <v/>
      </c>
      <c r="E11" s="60" t="inlineStr">
        <is>
          <t>File 1 users + File 4 social_accounts · Shell navigasi</t>
        </is>
      </c>
      <c r="F11" s="60" t="inlineStr">
        <is>
          <t>File 5 businesses (nunggu File 1)</t>
        </is>
      </c>
      <c r="G11" s="60" t="inlineStr">
        <is>
          <t>File 2 kategori + seeder 5 kategori</t>
        </is>
      </c>
      <c r="H11" s="60" t="n"/>
    </row>
    <row r="12" ht="18" customHeight="1">
      <c r="A12" s="79" t="n">
        <v>46300</v>
      </c>
      <c r="B12" s="49" t="inlineStr">
        <is>
          <t>Senin</t>
        </is>
      </c>
      <c r="C12" s="55" t="inlineStr">
        <is>
          <t>M7</t>
        </is>
      </c>
      <c r="D12" s="56">
        <f>TRIM(IF(INT(A12)=TODAY(),"hari ini ","")&amp;"")</f>
        <v/>
      </c>
      <c r="E12" s="56" t="inlineStr">
        <is>
          <t>UC-01 login + middleware 3 peran · Shell menu 3 peran</t>
        </is>
      </c>
      <c r="F12" s="56" t="inlineStr">
        <is>
          <t>File 5 businesses (nunggu File 1)</t>
        </is>
      </c>
      <c r="G12" s="56" t="inlineStr">
        <is>
          <t>UC-05c CRUD + File 6 soal + File 7 program</t>
        </is>
      </c>
      <c r="H12" s="56" t="inlineStr">
        <is>
          <t>File 11 pivot program–kategori</t>
        </is>
      </c>
    </row>
    <row r="13" ht="18" customHeight="1">
      <c r="A13" s="79" t="n">
        <v>46301</v>
      </c>
      <c r="B13" s="49" t="inlineStr">
        <is>
          <t>Selasa</t>
        </is>
      </c>
      <c r="C13" s="55" t="inlineStr">
        <is>
          <t>M7</t>
        </is>
      </c>
      <c r="D13" s="56">
        <f>TRIM(IF(INT(A13)=TODAY(),"hari ini ","")&amp;"Laporan Selasa — 3 akun login, menu beda, kategori + jenis usaha")</f>
        <v/>
      </c>
      <c r="E13" s="56" t="inlineStr">
        <is>
          <t>UC-01 login + middleware 3 peran · Shell menu 3 peran</t>
        </is>
      </c>
      <c r="F13" s="56" t="inlineStr">
        <is>
          <t>File 5 businesses (nunggu File 1)</t>
        </is>
      </c>
      <c r="G13" s="56" t="inlineStr">
        <is>
          <t>UC-05c CRUD + File 6 soal + File 7 program</t>
        </is>
      </c>
      <c r="H13" s="56" t="inlineStr">
        <is>
          <t>File 11 pivot program–kategori</t>
        </is>
      </c>
    </row>
    <row r="14" ht="18" customHeight="1">
      <c r="A14" s="79" t="n">
        <v>46302</v>
      </c>
      <c r="B14" s="49" t="inlineStr">
        <is>
          <t>Rabu</t>
        </is>
      </c>
      <c r="C14" s="55" t="inlineStr">
        <is>
          <t>M7</t>
        </is>
      </c>
      <c r="D14" s="56">
        <f>TRIM(IF(INT(A14)=TODAY(),"hari ini ","")&amp;"")</f>
        <v/>
      </c>
      <c r="E14" s="56" t="inlineStr">
        <is>
          <t>UC-01 login + middleware 3 peran · Shell menu 3 peran</t>
        </is>
      </c>
      <c r="F14" s="56" t="inlineStr">
        <is>
          <t>File 5 businesses (nunggu File 1) · File 8 produk + File 9 asesmen</t>
        </is>
      </c>
      <c r="G14" s="56" t="inlineStr">
        <is>
          <t>UC-05c CRUD + File 6 soal + File 7 program</t>
        </is>
      </c>
      <c r="H14" s="56" t="inlineStr">
        <is>
          <t>File 11 pivot program–kategori</t>
        </is>
      </c>
    </row>
    <row r="15" ht="18" customHeight="1">
      <c r="A15" s="79" t="n">
        <v>46303</v>
      </c>
      <c r="B15" s="49" t="inlineStr">
        <is>
          <t>Kamis</t>
        </is>
      </c>
      <c r="C15" s="55" t="inlineStr">
        <is>
          <t>M7</t>
        </is>
      </c>
      <c r="D15" s="56">
        <f>TRIM(IF(INT(A15)=TODAY(),"hari ini ","")&amp;"")</f>
        <v/>
      </c>
      <c r="E15" s="56" t="inlineStr">
        <is>
          <t>UC-03 profil akun + siapkan File 13/14</t>
        </is>
      </c>
      <c r="F15" s="56" t="inlineStr">
        <is>
          <t>File 8 produk + File 9 asesmen · UC-04a draf simpan profil</t>
        </is>
      </c>
      <c r="G15" s="56" t="inlineStr">
        <is>
          <t>File 10 opsi + seeder Likert</t>
        </is>
      </c>
      <c r="H15" s="56" t="inlineStr">
        <is>
          <t>File 12 assessment_answers</t>
        </is>
      </c>
    </row>
    <row r="16" ht="18" customHeight="1">
      <c r="A16" s="79" t="n">
        <v>46304</v>
      </c>
      <c r="B16" s="49" t="inlineStr">
        <is>
          <t>Jumat</t>
        </is>
      </c>
      <c r="C16" s="55" t="inlineStr">
        <is>
          <t>M7</t>
        </is>
      </c>
      <c r="D16" s="56">
        <f>TRIM(IF(INT(A16)=TODAY(),"hari ini ","")&amp;"")</f>
        <v/>
      </c>
      <c r="E16" s="56" t="inlineStr">
        <is>
          <t>UC-03 profil akun + siapkan File 13/14</t>
        </is>
      </c>
      <c r="F16" s="56" t="inlineStr">
        <is>
          <t>File 8 produk + File 9 asesmen · UC-04a draf simpan profil</t>
        </is>
      </c>
      <c r="G16" s="56" t="inlineStr">
        <is>
          <t>File 10 opsi + seeder Likert</t>
        </is>
      </c>
      <c r="H16" s="56" t="inlineStr">
        <is>
          <t>File 12 assessment_answers</t>
        </is>
      </c>
    </row>
    <row r="17" ht="18" customHeight="1">
      <c r="A17" s="80" t="n">
        <v>46305</v>
      </c>
      <c r="B17" s="58" t="inlineStr">
        <is>
          <t>Sabtu</t>
        </is>
      </c>
      <c r="C17" s="59" t="inlineStr">
        <is>
          <t>M7</t>
        </is>
      </c>
      <c r="D17" s="60">
        <f>TRIM(IF(INT(A17)=TODAY(),"hari ini ","")&amp;"")</f>
        <v/>
      </c>
      <c r="E17" s="60" t="inlineStr">
        <is>
          <t>UC-03 profil akun + siapkan File 13/14</t>
        </is>
      </c>
      <c r="F17" s="60" t="inlineStr">
        <is>
          <t>File 8 produk + File 9 asesmen · UC-04a draf simpan profil</t>
        </is>
      </c>
      <c r="G17" s="60" t="inlineStr">
        <is>
          <t>File 10 opsi + seeder Likert</t>
        </is>
      </c>
      <c r="H17" s="60" t="inlineStr">
        <is>
          <t>File 12 assessment_answers</t>
        </is>
      </c>
    </row>
    <row r="18" ht="18" customHeight="1">
      <c r="A18" s="80" t="n">
        <v>46306</v>
      </c>
      <c r="B18" s="58" t="inlineStr">
        <is>
          <t>Minggu</t>
        </is>
      </c>
      <c r="C18" s="59" t="inlineStr">
        <is>
          <t>M7</t>
        </is>
      </c>
      <c r="D18" s="60">
        <f>TRIM(IF(INT(A18)=TODAY(),"hari ini ","")&amp;"")</f>
        <v/>
      </c>
      <c r="E18" s="60" t="inlineStr">
        <is>
          <t>UC-03 profil akun + siapkan File 13/14</t>
        </is>
      </c>
      <c r="F18" s="60" t="inlineStr">
        <is>
          <t>File 8 produk + File 9 asesmen · UC-04a draf simpan profil</t>
        </is>
      </c>
      <c r="G18" s="60" t="inlineStr">
        <is>
          <t>File 10 opsi + seeder Likert</t>
        </is>
      </c>
      <c r="H18" s="60" t="inlineStr">
        <is>
          <t>File 12 assessment_answers</t>
        </is>
      </c>
    </row>
    <row r="19" ht="18" customHeight="1">
      <c r="A19" s="79" t="n">
        <v>46307</v>
      </c>
      <c r="B19" s="49" t="inlineStr">
        <is>
          <t>Senin</t>
        </is>
      </c>
      <c r="C19" s="55" t="inlineStr">
        <is>
          <t>M8</t>
        </is>
      </c>
      <c r="D19" s="56">
        <f>TRIM(IF(INT(A19)=TODAY(),"hari ini ","")&amp;"")</f>
        <v/>
      </c>
      <c r="E19" s="56" t="inlineStr">
        <is>
          <t>UC-02 registrasi + proteksi route</t>
        </is>
      </c>
      <c r="F19" s="56" t="inlineStr">
        <is>
          <t>UC-04a/b profil + UC-05a produk + badge</t>
        </is>
      </c>
      <c r="G19" s="56" t="inlineStr">
        <is>
          <t>UC-04c master UMKM + bank soal + UC-08</t>
        </is>
      </c>
      <c r="H19" s="56" t="inlineStr">
        <is>
          <t>UC-14a dashboard pimpinan UI</t>
        </is>
      </c>
    </row>
    <row r="20" ht="18" customHeight="1">
      <c r="A20" s="79" t="n">
        <v>46308</v>
      </c>
      <c r="B20" s="49" t="inlineStr">
        <is>
          <t>Selasa</t>
        </is>
      </c>
      <c r="C20" s="55" t="inlineStr">
        <is>
          <t>M8</t>
        </is>
      </c>
      <c r="D20" s="56">
        <f>TRIM(IF(INT(A20)=TODAY(),"hari ini ","")&amp;"MILESTONE 1 — Daftar → profil &amp; produk → petugas lihat daftar. Kelola soal &amp; program")</f>
        <v/>
      </c>
      <c r="E20" s="56" t="inlineStr">
        <is>
          <t>UC-02 registrasi + proteksi route</t>
        </is>
      </c>
      <c r="F20" s="56" t="inlineStr">
        <is>
          <t>UC-04a/b profil + UC-05a produk + badge</t>
        </is>
      </c>
      <c r="G20" s="56" t="inlineStr">
        <is>
          <t>UC-04c master UMKM + bank soal + UC-08</t>
        </is>
      </c>
      <c r="H20" s="56" t="inlineStr">
        <is>
          <t>UC-14a dashboard pimpinan UI</t>
        </is>
      </c>
    </row>
    <row r="21" ht="18" customHeight="1">
      <c r="A21" s="79" t="n">
        <v>46309</v>
      </c>
      <c r="B21" s="49" t="inlineStr">
        <is>
          <t>Rabu</t>
        </is>
      </c>
      <c r="C21" s="55" t="inlineStr">
        <is>
          <t>M8</t>
        </is>
      </c>
      <c r="D21" s="56">
        <f>TRIM(IF(INT(A21)=TODAY(),"hari ini ","")&amp;"")</f>
        <v/>
      </c>
      <c r="E21" s="56" t="inlineStr">
        <is>
          <t>UC-02 registrasi + proteksi route</t>
        </is>
      </c>
      <c r="F21" s="56" t="inlineStr">
        <is>
          <t>UC-04a/b profil + UC-05a produk + badge</t>
        </is>
      </c>
      <c r="G21" s="56" t="inlineStr">
        <is>
          <t>UC-04c master UMKM + bank soal + UC-08</t>
        </is>
      </c>
      <c r="H21" s="56" t="inlineStr">
        <is>
          <t>UC-14a dashboard pimpinan UI</t>
        </is>
      </c>
    </row>
    <row r="22" ht="18" customHeight="1">
      <c r="A22" s="79" t="n">
        <v>46310</v>
      </c>
      <c r="B22" s="49" t="inlineStr">
        <is>
          <t>Kamis</t>
        </is>
      </c>
      <c r="C22" s="55" t="inlineStr">
        <is>
          <t>M8</t>
        </is>
      </c>
      <c r="D22" s="56">
        <f>TRIM(IF(INT(A22)=TODAY(),"hari ini ","")&amp;"")</f>
        <v/>
      </c>
      <c r="E22" s="56" t="inlineStr">
        <is>
          <t>UC-02 registrasi + proteksi route</t>
        </is>
      </c>
      <c r="F22" s="56" t="inlineStr">
        <is>
          <t>UC-04a/b profil + UC-05a produk + badge</t>
        </is>
      </c>
      <c r="G22" s="56" t="inlineStr">
        <is>
          <t>UC-04c master UMKM + bank soal + UC-08</t>
        </is>
      </c>
      <c r="H22" s="56" t="inlineStr">
        <is>
          <t>UC-14a dashboard pimpinan UI</t>
        </is>
      </c>
    </row>
    <row r="23" ht="18" customHeight="1">
      <c r="A23" s="79" t="n">
        <v>46311</v>
      </c>
      <c r="B23" s="49" t="inlineStr">
        <is>
          <t>Jumat</t>
        </is>
      </c>
      <c r="C23" s="55" t="inlineStr">
        <is>
          <t>M8</t>
        </is>
      </c>
      <c r="D23" s="56">
        <f>TRIM(IF(INT(A23)=TODAY(),"hari ini ","")&amp;"")</f>
        <v/>
      </c>
      <c r="E23" s="56" t="inlineStr">
        <is>
          <t>UC-02 registrasi + proteksi route</t>
        </is>
      </c>
      <c r="F23" s="56" t="inlineStr">
        <is>
          <t>UC-04a/b profil + UC-05a produk + badge</t>
        </is>
      </c>
      <c r="G23" s="56" t="inlineStr">
        <is>
          <t>UC-04c master UMKM + bank soal + UC-08</t>
        </is>
      </c>
      <c r="H23" s="56" t="inlineStr">
        <is>
          <t>UC-14a dashboard pimpinan UI</t>
        </is>
      </c>
    </row>
    <row r="24" ht="18" customHeight="1">
      <c r="A24" s="80" t="n">
        <v>46312</v>
      </c>
      <c r="B24" s="58" t="inlineStr">
        <is>
          <t>Sabtu</t>
        </is>
      </c>
      <c r="C24" s="59" t="inlineStr">
        <is>
          <t>M8</t>
        </is>
      </c>
      <c r="D24" s="60">
        <f>TRIM(IF(INT(A24)=TODAY(),"hari ini ","")&amp;"")</f>
        <v/>
      </c>
      <c r="E24" s="60" t="inlineStr">
        <is>
          <t>UC-02 registrasi + proteksi route</t>
        </is>
      </c>
      <c r="F24" s="60" t="inlineStr">
        <is>
          <t>UC-04a/b profil + UC-05a produk + badge</t>
        </is>
      </c>
      <c r="G24" s="60" t="inlineStr">
        <is>
          <t>UC-04c master UMKM + bank soal + UC-08</t>
        </is>
      </c>
      <c r="H24" s="60" t="inlineStr">
        <is>
          <t>UC-14a dashboard pimpinan UI</t>
        </is>
      </c>
    </row>
    <row r="25" ht="18" customHeight="1">
      <c r="A25" s="80" t="n">
        <v>46313</v>
      </c>
      <c r="B25" s="58" t="inlineStr">
        <is>
          <t>Minggu</t>
        </is>
      </c>
      <c r="C25" s="59" t="inlineStr">
        <is>
          <t>M8</t>
        </is>
      </c>
      <c r="D25" s="60">
        <f>TRIM(IF(INT(A25)=TODAY(),"hari ini ","")&amp;"")</f>
        <v/>
      </c>
      <c r="E25" s="60" t="inlineStr">
        <is>
          <t>UC-02 registrasi + proteksi route</t>
        </is>
      </c>
      <c r="F25" s="60" t="inlineStr">
        <is>
          <t>UC-04a/b profil + UC-05a produk + badge</t>
        </is>
      </c>
      <c r="G25" s="60" t="inlineStr">
        <is>
          <t>UC-04c master UMKM + bank soal + UC-08</t>
        </is>
      </c>
      <c r="H25" s="60" t="inlineStr">
        <is>
          <t>UC-14a dashboard pimpinan UI</t>
        </is>
      </c>
    </row>
    <row r="26" ht="18" customHeight="1">
      <c r="A26" s="79" t="n">
        <v>46314</v>
      </c>
      <c r="B26" s="49" t="inlineStr">
        <is>
          <t>Senin</t>
        </is>
      </c>
      <c r="C26" s="55" t="inlineStr">
        <is>
          <t>M9</t>
        </is>
      </c>
      <c r="D26" s="56">
        <f>TRIM(IF(INT(A26)=TODAY(),"hari ini ","")&amp;"")</f>
        <v/>
      </c>
      <c r="E26" s="56" t="inlineStr">
        <is>
          <t>UC-07 skor + UC-09a generate rekomendasi</t>
        </is>
      </c>
      <c r="F26" s="56" t="inlineStr">
        <is>
          <t>UC-05b kuesioner simpan jawaban</t>
        </is>
      </c>
      <c r="G26" s="56" t="inlineStr">
        <is>
          <t>UC-06 verifikasi data mandiri</t>
        </is>
      </c>
      <c r="H26" s="56" t="inlineStr">
        <is>
          <t>File 16 coaching + UI UC-10</t>
        </is>
      </c>
    </row>
    <row r="27" ht="18" customHeight="1">
      <c r="A27" s="79" t="n">
        <v>46315</v>
      </c>
      <c r="B27" s="49" t="inlineStr">
        <is>
          <t>Selasa</t>
        </is>
      </c>
      <c r="C27" s="55" t="inlineStr">
        <is>
          <t>M9</t>
        </is>
      </c>
      <c r="D27" s="56">
        <f>TRIM(IF(INT(A27)=TODAY(),"hari ini ","")&amp;"Laporan Selasa — Kuesioner → skor → rekomendasi. Verifikasi jalan")</f>
        <v/>
      </c>
      <c r="E27" s="56" t="inlineStr">
        <is>
          <t>UC-07 skor + UC-09a generate rekomendasi</t>
        </is>
      </c>
      <c r="F27" s="56" t="inlineStr">
        <is>
          <t>UC-05b kuesioner simpan jawaban</t>
        </is>
      </c>
      <c r="G27" s="56" t="inlineStr">
        <is>
          <t>UC-06 verifikasi data mandiri</t>
        </is>
      </c>
      <c r="H27" s="56" t="inlineStr">
        <is>
          <t>File 16 coaching + UI UC-10</t>
        </is>
      </c>
    </row>
    <row r="28" ht="18" customHeight="1">
      <c r="A28" s="79" t="n">
        <v>46316</v>
      </c>
      <c r="B28" s="49" t="inlineStr">
        <is>
          <t>Rabu</t>
        </is>
      </c>
      <c r="C28" s="55" t="inlineStr">
        <is>
          <t>M9</t>
        </is>
      </c>
      <c r="D28" s="56">
        <f>TRIM(IF(INT(A28)=TODAY(),"hari ini ","")&amp;"")</f>
        <v/>
      </c>
      <c r="E28" s="56" t="inlineStr">
        <is>
          <t>UC-07 skor + UC-09a generate rekomendasi</t>
        </is>
      </c>
      <c r="F28" s="56" t="inlineStr">
        <is>
          <t>UC-05b kuesioner simpan jawaban</t>
        </is>
      </c>
      <c r="G28" s="56" t="inlineStr">
        <is>
          <t>UC-06 verifikasi data mandiri</t>
        </is>
      </c>
      <c r="H28" s="56" t="inlineStr">
        <is>
          <t>File 16 coaching + UI UC-10</t>
        </is>
      </c>
    </row>
    <row r="29" ht="18" customHeight="1">
      <c r="A29" s="79" t="n">
        <v>46317</v>
      </c>
      <c r="B29" s="49" t="inlineStr">
        <is>
          <t>Kamis</t>
        </is>
      </c>
      <c r="C29" s="55" t="inlineStr">
        <is>
          <t>M9</t>
        </is>
      </c>
      <c r="D29" s="56">
        <f>TRIM(IF(INT(A29)=TODAY(),"hari ini ","")&amp;"")</f>
        <v/>
      </c>
      <c r="E29" s="56" t="inlineStr">
        <is>
          <t>UC-07 skor + UC-09a generate rekomendasi</t>
        </is>
      </c>
      <c r="F29" s="56" t="inlineStr">
        <is>
          <t>UC-05b kuesioner simpan jawaban</t>
        </is>
      </c>
      <c r="G29" s="56" t="inlineStr">
        <is>
          <t>UC-06 verifikasi data mandiri</t>
        </is>
      </c>
      <c r="H29" s="56" t="inlineStr">
        <is>
          <t>File 16 coaching + UI UC-10</t>
        </is>
      </c>
    </row>
    <row r="30" ht="18" customHeight="1">
      <c r="A30" s="79" t="n">
        <v>46318</v>
      </c>
      <c r="B30" s="49" t="inlineStr">
        <is>
          <t>Jumat</t>
        </is>
      </c>
      <c r="C30" s="55" t="inlineStr">
        <is>
          <t>M9</t>
        </is>
      </c>
      <c r="D30" s="56">
        <f>TRIM(IF(INT(A30)=TODAY(),"hari ini ","")&amp;"")</f>
        <v/>
      </c>
      <c r="E30" s="56" t="inlineStr">
        <is>
          <t>UC-07 skor + UC-09a generate rekomendasi</t>
        </is>
      </c>
      <c r="F30" s="56" t="inlineStr">
        <is>
          <t>UC-05b kuesioner simpan jawaban</t>
        </is>
      </c>
      <c r="G30" s="56" t="inlineStr">
        <is>
          <t>UC-06 verifikasi data mandiri</t>
        </is>
      </c>
      <c r="H30" s="56" t="inlineStr">
        <is>
          <t>File 16 coaching + UI UC-10</t>
        </is>
      </c>
    </row>
    <row r="31" ht="18" customHeight="1">
      <c r="A31" s="80" t="n">
        <v>46319</v>
      </c>
      <c r="B31" s="58" t="inlineStr">
        <is>
          <t>Sabtu</t>
        </is>
      </c>
      <c r="C31" s="59" t="inlineStr">
        <is>
          <t>M9</t>
        </is>
      </c>
      <c r="D31" s="60">
        <f>TRIM(IF(INT(A31)=TODAY(),"hari ini ","")&amp;"")</f>
        <v/>
      </c>
      <c r="E31" s="60" t="inlineStr">
        <is>
          <t>UC-07 skor + UC-09a generate rekomendasi</t>
        </is>
      </c>
      <c r="F31" s="60" t="inlineStr">
        <is>
          <t>UC-05b kuesioner simpan jawaban</t>
        </is>
      </c>
      <c r="G31" s="60" t="inlineStr">
        <is>
          <t>UC-06 verifikasi data mandiri</t>
        </is>
      </c>
      <c r="H31" s="60" t="inlineStr">
        <is>
          <t>File 16 coaching + UI UC-10</t>
        </is>
      </c>
    </row>
    <row r="32" ht="18" customHeight="1">
      <c r="A32" s="80" t="n">
        <v>46320</v>
      </c>
      <c r="B32" s="58" t="inlineStr">
        <is>
          <t>Minggu</t>
        </is>
      </c>
      <c r="C32" s="59" t="inlineStr">
        <is>
          <t>M9</t>
        </is>
      </c>
      <c r="D32" s="60">
        <f>TRIM(IF(INT(A32)=TODAY(),"hari ini ","")&amp;"")</f>
        <v/>
      </c>
      <c r="E32" s="60" t="inlineStr">
        <is>
          <t>UC-07 skor + UC-09a generate rekomendasi</t>
        </is>
      </c>
      <c r="F32" s="60" t="inlineStr">
        <is>
          <t>UC-05b kuesioner simpan jawaban</t>
        </is>
      </c>
      <c r="G32" s="60" t="inlineStr">
        <is>
          <t>UC-06 verifikasi data mandiri</t>
        </is>
      </c>
      <c r="H32" s="60" t="inlineStr">
        <is>
          <t>File 16 coaching + UI UC-10</t>
        </is>
      </c>
    </row>
    <row r="33" ht="18" customHeight="1">
      <c r="A33" s="79" t="n">
        <v>46321</v>
      </c>
      <c r="B33" s="49" t="inlineStr">
        <is>
          <t>Senin</t>
        </is>
      </c>
      <c r="C33" s="55" t="inlineStr">
        <is>
          <t>M10</t>
        </is>
      </c>
      <c r="D33" s="56">
        <f>TRIM(IF(INT(A33)=TODAY(),"hari ini ","")&amp;"")</f>
        <v/>
      </c>
      <c r="E33" s="56" t="n"/>
      <c r="F33" s="56" t="inlineStr">
        <is>
          <t>UC-09b rekomendasi sendiri + dashboard UMKM</t>
        </is>
      </c>
      <c r="G33" s="56" t="inlineStr">
        <is>
          <t>UC-09c rekomendasi semua + UC-14b laporan</t>
        </is>
      </c>
      <c r="H33" s="56" t="inlineStr">
        <is>
          <t>UC-10 ajukan + UC-11 setujui/tolak · UC-13 dashboard petugas data nyata</t>
        </is>
      </c>
    </row>
    <row r="34" ht="18" customHeight="1">
      <c r="A34" s="79" t="n">
        <v>46322</v>
      </c>
      <c r="B34" s="49" t="inlineStr">
        <is>
          <t>Selasa</t>
        </is>
      </c>
      <c r="C34" s="55" t="inlineStr">
        <is>
          <t>M10</t>
        </is>
      </c>
      <c r="D34" s="56">
        <f>TRIM(IF(INT(A34)=TODAY(),"hari ini ","")&amp;"Laporan Selasa — Dashboard data nyata. Ajukan / setujui-tolak")</f>
        <v/>
      </c>
      <c r="E34" s="56" t="n"/>
      <c r="F34" s="56" t="inlineStr">
        <is>
          <t>UC-09b rekomendasi sendiri + dashboard UMKM</t>
        </is>
      </c>
      <c r="G34" s="56" t="inlineStr">
        <is>
          <t>UC-09c rekomendasi semua + UC-14b laporan</t>
        </is>
      </c>
      <c r="H34" s="56" t="inlineStr">
        <is>
          <t>UC-10 ajukan + UC-11 setujui/tolak · UC-13 dashboard petugas data nyata</t>
        </is>
      </c>
    </row>
    <row r="35" ht="18" customHeight="1">
      <c r="A35" s="79" t="n">
        <v>46323</v>
      </c>
      <c r="B35" s="49" t="inlineStr">
        <is>
          <t>Rabu</t>
        </is>
      </c>
      <c r="C35" s="55" t="inlineStr">
        <is>
          <t>M10</t>
        </is>
      </c>
      <c r="D35" s="56">
        <f>TRIM(IF(INT(A35)=TODAY(),"hari ini ","")&amp;"")</f>
        <v/>
      </c>
      <c r="E35" s="56" t="n"/>
      <c r="F35" s="56" t="inlineStr">
        <is>
          <t>UC-09b rekomendasi sendiri + dashboard UMKM</t>
        </is>
      </c>
      <c r="G35" s="56" t="inlineStr">
        <is>
          <t>UC-09c rekomendasi semua + UC-14b laporan</t>
        </is>
      </c>
      <c r="H35" s="56" t="inlineStr">
        <is>
          <t>UC-10 ajukan + UC-11 setujui/tolak · UC-13 dashboard petugas data nyata</t>
        </is>
      </c>
    </row>
    <row r="36" ht="18" customHeight="1">
      <c r="A36" s="79" t="n">
        <v>46324</v>
      </c>
      <c r="B36" s="49" t="inlineStr">
        <is>
          <t>Kamis</t>
        </is>
      </c>
      <c r="C36" s="55" t="inlineStr">
        <is>
          <t>M10</t>
        </is>
      </c>
      <c r="D36" s="56">
        <f>TRIM(IF(INT(A36)=TODAY(),"hari ini ","")&amp;"")</f>
        <v/>
      </c>
      <c r="E36" s="56" t="n"/>
      <c r="F36" s="56" t="inlineStr">
        <is>
          <t>UC-09b rekomendasi sendiri + dashboard UMKM</t>
        </is>
      </c>
      <c r="G36" s="56" t="inlineStr">
        <is>
          <t>UC-09c rekomendasi semua + UC-14b laporan</t>
        </is>
      </c>
      <c r="H36" s="56" t="inlineStr">
        <is>
          <t>UC-10 ajukan + UC-11 setujui/tolak · UC-13 dashboard petugas data nyata</t>
        </is>
      </c>
    </row>
    <row r="37" ht="18" customHeight="1">
      <c r="A37" s="79" t="n">
        <v>46325</v>
      </c>
      <c r="B37" s="49" t="inlineStr">
        <is>
          <t>Jumat</t>
        </is>
      </c>
      <c r="C37" s="55" t="inlineStr">
        <is>
          <t>M10</t>
        </is>
      </c>
      <c r="D37" s="56">
        <f>TRIM(IF(INT(A37)=TODAY(),"hari ini ","")&amp;"")</f>
        <v/>
      </c>
      <c r="E37" s="56" t="n"/>
      <c r="F37" s="56" t="inlineStr">
        <is>
          <t>UC-09b rekomendasi sendiri + dashboard UMKM</t>
        </is>
      </c>
      <c r="G37" s="56" t="inlineStr">
        <is>
          <t>UC-09c rekomendasi semua + UC-14b laporan</t>
        </is>
      </c>
      <c r="H37" s="56" t="inlineStr">
        <is>
          <t>UC-10 ajukan + UC-11 setujui/tolak · UC-13 dashboard petugas data nyata</t>
        </is>
      </c>
    </row>
    <row r="38" ht="18" customHeight="1">
      <c r="A38" s="80" t="n">
        <v>46326</v>
      </c>
      <c r="B38" s="58" t="inlineStr">
        <is>
          <t>Sabtu</t>
        </is>
      </c>
      <c r="C38" s="59" t="inlineStr">
        <is>
          <t>M10</t>
        </is>
      </c>
      <c r="D38" s="60">
        <f>TRIM(IF(INT(A38)=TODAY(),"hari ini ","")&amp;"")</f>
        <v/>
      </c>
      <c r="E38" s="60" t="n"/>
      <c r="F38" s="60" t="inlineStr">
        <is>
          <t>UC-09b rekomendasi sendiri + dashboard UMKM</t>
        </is>
      </c>
      <c r="G38" s="60" t="inlineStr">
        <is>
          <t>UC-09c rekomendasi semua + UC-14b laporan</t>
        </is>
      </c>
      <c r="H38" s="60" t="inlineStr">
        <is>
          <t>UC-10 ajukan + UC-11 setujui/tolak · UC-13 dashboard petugas data nyata</t>
        </is>
      </c>
    </row>
    <row r="39" ht="18" customHeight="1">
      <c r="A39" s="80" t="n">
        <v>46327</v>
      </c>
      <c r="B39" s="58" t="inlineStr">
        <is>
          <t>Minggu</t>
        </is>
      </c>
      <c r="C39" s="59" t="inlineStr">
        <is>
          <t>M10</t>
        </is>
      </c>
      <c r="D39" s="60">
        <f>TRIM(IF(INT(A39)=TODAY(),"hari ini ","")&amp;"")</f>
        <v/>
      </c>
      <c r="E39" s="60" t="n"/>
      <c r="F39" s="60" t="inlineStr">
        <is>
          <t>UC-09b rekomendasi sendiri + dashboard UMKM</t>
        </is>
      </c>
      <c r="G39" s="60" t="inlineStr">
        <is>
          <t>UC-09c rekomendasi semua + UC-14b laporan</t>
        </is>
      </c>
      <c r="H39" s="60" t="inlineStr">
        <is>
          <t>UC-10 ajukan + UC-11 setujui/tolak · UC-13 dashboard petugas data nyata</t>
        </is>
      </c>
    </row>
    <row r="40" ht="18" customHeight="1">
      <c r="A40" s="79" t="n">
        <v>46328</v>
      </c>
      <c r="B40" s="49" t="inlineStr">
        <is>
          <t>Senin</t>
        </is>
      </c>
      <c r="C40" s="55" t="inlineStr">
        <is>
          <t>M11</t>
        </is>
      </c>
      <c r="D40" s="56">
        <f>TRIM(IF(INT(A40)=TODAY(),"hari ini ","")&amp;"")</f>
        <v/>
      </c>
      <c r="E40" s="56" t="inlineStr">
        <is>
          <t>Perbaiki auth dan scoring</t>
        </is>
      </c>
      <c r="F40" s="56" t="inlineStr">
        <is>
          <t>Rapikan form pelaku, tidak bocor data</t>
        </is>
      </c>
      <c r="G40" s="56" t="inlineStr">
        <is>
          <t>UC-15 ekspor PDF/Excel</t>
        </is>
      </c>
      <c r="H40" s="56" t="inlineStr">
        <is>
          <t>UC-12 pembinaan + monitoring + riwayat</t>
        </is>
      </c>
    </row>
    <row r="41" ht="18" customHeight="1">
      <c r="A41" s="79" t="n">
        <v>46329</v>
      </c>
      <c r="B41" s="49" t="inlineStr">
        <is>
          <t>Selasa</t>
        </is>
      </c>
      <c r="C41" s="55" t="inlineStr">
        <is>
          <t>M11</t>
        </is>
      </c>
      <c r="D41" s="56">
        <f>TRIM(IF(INT(A41)=TODAY(),"hari ini ","")&amp;"Laporan Selasa — Catat pembinaan + laporan. Ekspor boleh kasar")</f>
        <v/>
      </c>
      <c r="E41" s="56" t="inlineStr">
        <is>
          <t>Perbaiki auth dan scoring</t>
        </is>
      </c>
      <c r="F41" s="56" t="inlineStr">
        <is>
          <t>Rapikan form pelaku, tidak bocor data</t>
        </is>
      </c>
      <c r="G41" s="56" t="inlineStr">
        <is>
          <t>UC-15 ekspor PDF/Excel</t>
        </is>
      </c>
      <c r="H41" s="56" t="inlineStr">
        <is>
          <t>UC-12 pembinaan + monitoring + riwayat</t>
        </is>
      </c>
    </row>
    <row r="42" ht="18" customHeight="1">
      <c r="A42" s="79" t="n">
        <v>46330</v>
      </c>
      <c r="B42" s="49" t="inlineStr">
        <is>
          <t>Rabu</t>
        </is>
      </c>
      <c r="C42" s="55" t="inlineStr">
        <is>
          <t>M11</t>
        </is>
      </c>
      <c r="D42" s="56">
        <f>TRIM(IF(INT(A42)=TODAY(),"hari ini ","")&amp;"")</f>
        <v/>
      </c>
      <c r="E42" s="56" t="inlineStr">
        <is>
          <t>Perbaiki auth dan scoring</t>
        </is>
      </c>
      <c r="F42" s="56" t="inlineStr">
        <is>
          <t>Rapikan form pelaku, tidak bocor data</t>
        </is>
      </c>
      <c r="G42" s="56" t="inlineStr">
        <is>
          <t>UC-15 ekspor PDF/Excel</t>
        </is>
      </c>
      <c r="H42" s="56" t="inlineStr">
        <is>
          <t>UC-12 pembinaan + monitoring + riwayat</t>
        </is>
      </c>
    </row>
    <row r="43" ht="18" customHeight="1">
      <c r="A43" s="79" t="n">
        <v>46331</v>
      </c>
      <c r="B43" s="49" t="inlineStr">
        <is>
          <t>Kamis</t>
        </is>
      </c>
      <c r="C43" s="55" t="inlineStr">
        <is>
          <t>M11</t>
        </is>
      </c>
      <c r="D43" s="56">
        <f>TRIM(IF(INT(A43)=TODAY(),"hari ini ","")&amp;"")</f>
        <v/>
      </c>
      <c r="E43" s="56" t="inlineStr">
        <is>
          <t>Perbaiki auth dan scoring</t>
        </is>
      </c>
      <c r="F43" s="56" t="inlineStr">
        <is>
          <t>Rapikan form pelaku, tidak bocor data</t>
        </is>
      </c>
      <c r="G43" s="56" t="inlineStr">
        <is>
          <t>UC-15 ekspor PDF/Excel</t>
        </is>
      </c>
      <c r="H43" s="56" t="inlineStr">
        <is>
          <t>UC-12 pembinaan + monitoring + riwayat</t>
        </is>
      </c>
    </row>
    <row r="44" ht="18" customHeight="1">
      <c r="A44" s="79" t="n">
        <v>46332</v>
      </c>
      <c r="B44" s="49" t="inlineStr">
        <is>
          <t>Jumat</t>
        </is>
      </c>
      <c r="C44" s="55" t="inlineStr">
        <is>
          <t>M11</t>
        </is>
      </c>
      <c r="D44" s="56">
        <f>TRIM(IF(INT(A44)=TODAY(),"hari ini ","")&amp;"")</f>
        <v/>
      </c>
      <c r="E44" s="56" t="inlineStr">
        <is>
          <t>Perbaiki auth dan scoring</t>
        </is>
      </c>
      <c r="F44" s="56" t="inlineStr">
        <is>
          <t>Rapikan form pelaku, tidak bocor data</t>
        </is>
      </c>
      <c r="G44" s="56" t="inlineStr">
        <is>
          <t>UC-15 ekspor PDF/Excel</t>
        </is>
      </c>
      <c r="H44" s="56" t="inlineStr">
        <is>
          <t>UC-12 pembinaan + monitoring + riwayat</t>
        </is>
      </c>
    </row>
    <row r="45" ht="18" customHeight="1">
      <c r="A45" s="80" t="n">
        <v>46333</v>
      </c>
      <c r="B45" s="58" t="inlineStr">
        <is>
          <t>Sabtu</t>
        </is>
      </c>
      <c r="C45" s="59" t="inlineStr">
        <is>
          <t>M11</t>
        </is>
      </c>
      <c r="D45" s="60">
        <f>TRIM(IF(INT(A45)=TODAY(),"hari ini ","")&amp;"")</f>
        <v/>
      </c>
      <c r="E45" s="60" t="inlineStr">
        <is>
          <t>Perbaiki auth dan scoring</t>
        </is>
      </c>
      <c r="F45" s="60" t="inlineStr">
        <is>
          <t>Rapikan form pelaku, tidak bocor data</t>
        </is>
      </c>
      <c r="G45" s="60" t="inlineStr">
        <is>
          <t>UC-15 ekspor PDF/Excel</t>
        </is>
      </c>
      <c r="H45" s="60" t="inlineStr">
        <is>
          <t>UC-12 pembinaan + monitoring + riwayat</t>
        </is>
      </c>
    </row>
    <row r="46" ht="18" customHeight="1">
      <c r="A46" s="80" t="n">
        <v>46334</v>
      </c>
      <c r="B46" s="58" t="inlineStr">
        <is>
          <t>Minggu</t>
        </is>
      </c>
      <c r="C46" s="59" t="inlineStr">
        <is>
          <t>M11</t>
        </is>
      </c>
      <c r="D46" s="60">
        <f>TRIM(IF(INT(A46)=TODAY(),"hari ini ","")&amp;"")</f>
        <v/>
      </c>
      <c r="E46" s="60" t="inlineStr">
        <is>
          <t>Perbaiki auth dan scoring</t>
        </is>
      </c>
      <c r="F46" s="60" t="inlineStr">
        <is>
          <t>Rapikan form pelaku, tidak bocor data</t>
        </is>
      </c>
      <c r="G46" s="60" t="inlineStr">
        <is>
          <t>UC-15 ekspor PDF/Excel</t>
        </is>
      </c>
      <c r="H46" s="60" t="inlineStr">
        <is>
          <t>UC-12 pembinaan + monitoring + riwayat</t>
        </is>
      </c>
    </row>
    <row r="47" ht="18" customHeight="1">
      <c r="A47" s="79" t="n">
        <v>46335</v>
      </c>
      <c r="B47" s="49" t="inlineStr">
        <is>
          <t>Senin</t>
        </is>
      </c>
      <c r="C47" s="55" t="inlineStr">
        <is>
          <t>M12</t>
        </is>
      </c>
      <c r="D47" s="56">
        <f>TRIM(IF(INT(A47)=TODAY(),"hari ini ","")&amp;"")</f>
        <v/>
      </c>
      <c r="E47" s="56" t="inlineStr">
        <is>
          <t>Tes Pest alur inti</t>
        </is>
      </c>
      <c r="F47" s="56" t="inlineStr">
        <is>
          <t>Rapikan form pelaku, tidak bocor data</t>
        </is>
      </c>
      <c r="G47" s="56" t="inlineStr">
        <is>
          <t>UC-15 ekspor PDF/Excel</t>
        </is>
      </c>
      <c r="H47" s="56" t="inlineStr">
        <is>
          <t>Dashboard pimpinan data nyata</t>
        </is>
      </c>
    </row>
    <row r="48" ht="18" customHeight="1">
      <c r="A48" s="79" t="n">
        <v>46336</v>
      </c>
      <c r="B48" s="49" t="inlineStr">
        <is>
          <t>Selasa</t>
        </is>
      </c>
      <c r="C48" s="55" t="inlineStr">
        <is>
          <t>M12</t>
        </is>
      </c>
      <c r="D48" s="56">
        <f>TRIM(IF(INT(A48)=TODAY(),"hari ini ","")&amp;"MILESTONE 2 — Alur 3 aktor utuh + hasil uji")</f>
        <v/>
      </c>
      <c r="E48" s="56" t="inlineStr">
        <is>
          <t>Tes Pest alur inti</t>
        </is>
      </c>
      <c r="F48" s="56" t="inlineStr">
        <is>
          <t>Rapikan form pelaku, tidak bocor data</t>
        </is>
      </c>
      <c r="G48" s="56" t="inlineStr">
        <is>
          <t>UC-15 ekspor PDF/Excel</t>
        </is>
      </c>
      <c r="H48" s="56" t="inlineStr">
        <is>
          <t>Dashboard pimpinan data nyata</t>
        </is>
      </c>
    </row>
    <row r="49" ht="18" customHeight="1">
      <c r="A49" s="79" t="n">
        <v>46337</v>
      </c>
      <c r="B49" s="49" t="inlineStr">
        <is>
          <t>Rabu</t>
        </is>
      </c>
      <c r="C49" s="55" t="inlineStr">
        <is>
          <t>M12</t>
        </is>
      </c>
      <c r="D49" s="56">
        <f>TRIM(IF(INT(A49)=TODAY(),"hari ini ","")&amp;"")</f>
        <v/>
      </c>
      <c r="E49" s="56" t="inlineStr">
        <is>
          <t>Tes Pest alur inti</t>
        </is>
      </c>
      <c r="F49" s="56" t="inlineStr">
        <is>
          <t>Rapikan form pelaku, tidak bocor data</t>
        </is>
      </c>
      <c r="G49" s="56" t="inlineStr">
        <is>
          <t>UC-15 ekspor PDF/Excel</t>
        </is>
      </c>
      <c r="H49" s="56" t="inlineStr">
        <is>
          <t>Dashboard pimpinan data nyata</t>
        </is>
      </c>
    </row>
    <row r="50" ht="18" customHeight="1">
      <c r="A50" s="79" t="n">
        <v>46338</v>
      </c>
      <c r="B50" s="49" t="inlineStr">
        <is>
          <t>Kamis</t>
        </is>
      </c>
      <c r="C50" s="55" t="inlineStr">
        <is>
          <t>M12</t>
        </is>
      </c>
      <c r="D50" s="56">
        <f>TRIM(IF(INT(A50)=TODAY(),"hari ini ","")&amp;"")</f>
        <v/>
      </c>
      <c r="E50" s="56" t="inlineStr">
        <is>
          <t>Tes Pest alur inti</t>
        </is>
      </c>
      <c r="F50" s="56" t="inlineStr">
        <is>
          <t>Rapikan form pelaku, tidak bocor data</t>
        </is>
      </c>
      <c r="G50" s="56" t="inlineStr">
        <is>
          <t>UC-15 ekspor PDF/Excel</t>
        </is>
      </c>
      <c r="H50" s="56" t="inlineStr">
        <is>
          <t>Dashboard pimpinan data nyata</t>
        </is>
      </c>
    </row>
    <row r="51" ht="18" customHeight="1">
      <c r="A51" s="79" t="n">
        <v>46339</v>
      </c>
      <c r="B51" s="49" t="inlineStr">
        <is>
          <t>Jumat</t>
        </is>
      </c>
      <c r="C51" s="55" t="inlineStr">
        <is>
          <t>M12</t>
        </is>
      </c>
      <c r="D51" s="56">
        <f>TRIM(IF(INT(A51)=TODAY(),"hari ini ","")&amp;"")</f>
        <v/>
      </c>
      <c r="E51" s="56" t="inlineStr">
        <is>
          <t>Tes Pest alur inti</t>
        </is>
      </c>
      <c r="F51" s="56" t="inlineStr">
        <is>
          <t>Rapikan form pelaku, tidak bocor data</t>
        </is>
      </c>
      <c r="G51" s="56" t="inlineStr">
        <is>
          <t>UC-15 ekspor PDF/Excel</t>
        </is>
      </c>
      <c r="H51" s="56" t="inlineStr">
        <is>
          <t>Dashboard pimpinan data nyata</t>
        </is>
      </c>
    </row>
    <row r="52" ht="18" customHeight="1">
      <c r="A52" s="80" t="n">
        <v>46340</v>
      </c>
      <c r="B52" s="58" t="inlineStr">
        <is>
          <t>Sabtu</t>
        </is>
      </c>
      <c r="C52" s="59" t="inlineStr">
        <is>
          <t>M12</t>
        </is>
      </c>
      <c r="D52" s="60">
        <f>TRIM(IF(INT(A52)=TODAY(),"hari ini ","")&amp;"")</f>
        <v/>
      </c>
      <c r="E52" s="60" t="inlineStr">
        <is>
          <t>Tes Pest alur inti</t>
        </is>
      </c>
      <c r="F52" s="60" t="inlineStr">
        <is>
          <t>Rapikan form pelaku, tidak bocor data</t>
        </is>
      </c>
      <c r="G52" s="60" t="inlineStr">
        <is>
          <t>UC-15 ekspor PDF/Excel</t>
        </is>
      </c>
      <c r="H52" s="60" t="inlineStr">
        <is>
          <t>Dashboard pimpinan data nyata</t>
        </is>
      </c>
    </row>
    <row r="53" ht="18" customHeight="1">
      <c r="A53" s="80" t="n">
        <v>46341</v>
      </c>
      <c r="B53" s="58" t="inlineStr">
        <is>
          <t>Minggu</t>
        </is>
      </c>
      <c r="C53" s="59" t="inlineStr">
        <is>
          <t>M12</t>
        </is>
      </c>
      <c r="D53" s="60">
        <f>TRIM(IF(INT(A53)=TODAY(),"hari ini ","")&amp;"")</f>
        <v/>
      </c>
      <c r="E53" s="60" t="inlineStr">
        <is>
          <t>Tes Pest alur inti</t>
        </is>
      </c>
      <c r="F53" s="60" t="inlineStr">
        <is>
          <t>Rapikan form pelaku, tidak bocor data</t>
        </is>
      </c>
      <c r="G53" s="60" t="inlineStr">
        <is>
          <t>UC-15 ekspor PDF/Excel</t>
        </is>
      </c>
      <c r="H53" s="60" t="inlineStr">
        <is>
          <t>Dashboard pimpinan data nyata</t>
        </is>
      </c>
    </row>
  </sheetData>
  <autoFilter ref="A4:H53"/>
  <mergeCells count="2">
    <mergeCell ref="A2:H2"/>
    <mergeCell ref="A1:H1"/>
  </mergeCells>
  <conditionalFormatting sqref="A5:H53">
    <cfRule type="expression" priority="2" dxfId="3">
      <formula>INT($A5)=TODAY()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44" customWidth="1" min="4" max="4"/>
    <col width="44" customWidth="1" min="5" max="5"/>
  </cols>
  <sheetData>
    <row r="1">
      <c r="A1" s="1" t="inlineStr">
        <is>
          <t>Ringkas beban per orang</t>
        </is>
      </c>
      <c r="B1" s="61" t="n"/>
      <c r="C1" s="61" t="n"/>
      <c r="D1" s="61" t="n"/>
      <c r="E1" s="62" t="n"/>
    </row>
    <row r="3" ht="28" customHeight="1">
      <c r="A3" s="63" t="inlineStr">
        <is>
          <t>Pemilik</t>
        </is>
      </c>
      <c r="B3" s="63" t="inlineStr">
        <is>
          <t>M6–M7 (sampai 11 Okt)</t>
        </is>
      </c>
      <c r="C3" s="63" t="inlineStr">
        <is>
          <t>M8 Milestone 1 (13 Okt)</t>
        </is>
      </c>
      <c r="D3" s="63" t="inlineStr">
        <is>
          <t>M9–M10 (20 &amp; 27 Okt)</t>
        </is>
      </c>
      <c r="E3" s="63" t="inlineStr">
        <is>
          <t>M11–M12 Milestone 2 (10 Nov)</t>
        </is>
      </c>
    </row>
    <row r="4" ht="36" customHeight="1">
      <c r="A4" s="64" t="inlineStr">
        <is>
          <t>Daffa</t>
        </is>
      </c>
      <c r="B4" s="65" t="inlineStr">
        <is>
          <t>File 1, File 4, login, middleware, shell menu</t>
        </is>
      </c>
      <c r="C4" s="65" t="inlineStr">
        <is>
          <t>Registrasi, proteksi route</t>
        </is>
      </c>
      <c r="D4" s="65" t="inlineStr">
        <is>
          <t>Skor, generate rekomendasi</t>
        </is>
      </c>
      <c r="E4" s="65" t="inlineStr">
        <is>
          <t>Tes inti, perbaiki scoring/auth</t>
        </is>
      </c>
    </row>
    <row r="5" ht="36" customHeight="1">
      <c r="A5" s="66" t="inlineStr">
        <is>
          <t>Hernanda</t>
        </is>
      </c>
      <c r="B5" s="65" t="inlineStr">
        <is>
          <t>File 5, 8, 9, seeder jenis</t>
        </is>
      </c>
      <c r="C5" s="65" t="inlineStr">
        <is>
          <t>Profil, pendataan petugas, produk</t>
        </is>
      </c>
      <c r="D5" s="65" t="inlineStr">
        <is>
          <t>Kuesioner simpan, rekomendasi sendiri, dashboard UMKM nyata</t>
        </is>
      </c>
      <c r="E5" s="65" t="inlineStr">
        <is>
          <t>Form pelaku rapat, tidak bocor data</t>
        </is>
      </c>
    </row>
    <row r="6" ht="36" customHeight="1">
      <c r="A6" s="67" t="inlineStr">
        <is>
          <t>Nazwa</t>
        </is>
      </c>
      <c r="B6" s="65" t="inlineStr">
        <is>
          <t>File 2, 6, 7, 10, CRUD kategori</t>
        </is>
      </c>
      <c r="C6" s="65" t="inlineStr">
        <is>
          <t>Master UMKM, bank soal, program</t>
        </is>
      </c>
      <c r="D6" s="65" t="inlineStr">
        <is>
          <t>Verifikasi, rekomendasi semua UMKM, laporan</t>
        </is>
      </c>
      <c r="E6" s="65" t="inlineStr">
        <is>
          <t>Ekspor, laporan lengkap</t>
        </is>
      </c>
    </row>
    <row r="7" ht="36" customHeight="1">
      <c r="A7" s="68" t="inlineStr">
        <is>
          <t>Radith</t>
        </is>
      </c>
      <c r="B7" s="65" t="inlineStr">
        <is>
          <t>File 11, File 12</t>
        </is>
      </c>
      <c r="C7" s="65" t="inlineStr">
        <is>
          <t>Dashboard pimpinan UI, File 15</t>
        </is>
      </c>
      <c r="D7" s="65" t="inlineStr">
        <is>
          <t>UC-13 dashboard petugas, ajukan, setujui/tolak, File 16</t>
        </is>
      </c>
      <c r="E7" s="65" t="inlineStr">
        <is>
          <t>Pembinaan, monitoring, riwayat, dashboard pimpinan nyata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78" customWidth="1" min="3" max="3"/>
  </cols>
  <sheetData>
    <row r="1">
      <c r="A1" s="1" t="inlineStr">
        <is>
          <t>Yang didemo ke dosen setiap Selasa</t>
        </is>
      </c>
      <c r="B1" s="61" t="n"/>
      <c r="C1" s="62" t="n"/>
    </row>
    <row r="3">
      <c r="A3" s="31" t="inlineStr">
        <is>
          <t>Tanggal</t>
        </is>
      </c>
      <c r="B3" s="31" t="inlineStr">
        <is>
          <t>Minggu</t>
        </is>
      </c>
      <c r="C3" s="31" t="inlineStr">
        <is>
          <t>Yang harus kelihatan</t>
        </is>
      </c>
    </row>
    <row r="4" ht="28" customHeight="1">
      <c r="A4" s="81" t="n">
        <v>46301</v>
      </c>
      <c r="B4" s="8" t="inlineStr">
        <is>
          <t>7</t>
        </is>
      </c>
      <c r="C4" s="65" t="inlineStr">
        <is>
          <t>3 akun login, menu beda per peran, kategori dan jenis usaha ada</t>
        </is>
      </c>
    </row>
    <row r="5" ht="28" customHeight="1">
      <c r="A5" s="81" t="n">
        <v>46308</v>
      </c>
      <c r="B5" s="8" t="inlineStr">
        <is>
          <t>8 · Milestone 1</t>
        </is>
      </c>
      <c r="C5" s="65" t="inlineStr">
        <is>
          <t>Daftar sebagai pelaku, isi profil dan produk, petugas lihat daftar, kelola soal dan program</t>
        </is>
      </c>
    </row>
    <row r="6" ht="28" customHeight="1">
      <c r="A6" s="81" t="n">
        <v>46315</v>
      </c>
      <c r="B6" s="8" t="inlineStr">
        <is>
          <t>9</t>
        </is>
      </c>
      <c r="C6" s="65" t="inlineStr">
        <is>
          <t>Kuesioner selesai, skor dan rekomendasi muncul, petugas bisa verifikasi</t>
        </is>
      </c>
    </row>
    <row r="7" ht="28" customHeight="1">
      <c r="A7" s="81" t="n">
        <v>46322</v>
      </c>
      <c r="B7" s="8" t="inlineStr">
        <is>
          <t>10</t>
        </is>
      </c>
      <c r="C7" s="65" t="inlineStr">
        <is>
          <t>Dashboard data nyata, petugas ajukan, kepala desa setujui/tolak</t>
        </is>
      </c>
    </row>
    <row r="8" ht="28" customHeight="1">
      <c r="A8" s="81" t="n">
        <v>46329</v>
      </c>
      <c r="B8" s="8" t="inlineStr">
        <is>
          <t>11</t>
        </is>
      </c>
      <c r="C8" s="65" t="inlineStr">
        <is>
          <t>Catat pembinaan dan laporan. Ekspor boleh masih kasar</t>
        </is>
      </c>
    </row>
    <row r="9" ht="28" customHeight="1">
      <c r="A9" s="81" t="n">
        <v>46336</v>
      </c>
      <c r="B9" s="8" t="inlineStr">
        <is>
          <t>12 · Milestone 2</t>
        </is>
      </c>
      <c r="C9" s="65" t="inlineStr">
        <is>
          <t>Alur 3 aktor utuh + hasil uji</t>
        </is>
      </c>
    </row>
  </sheetData>
  <mergeCells count="1">
    <mergeCell ref="A1:C1"/>
  </mergeCells>
  <conditionalFormatting sqref="A4:C4">
    <cfRule type="expression" priority="7" dxfId="3">
      <formula>INT($A4)=TODAY()</formula>
    </cfRule>
  </conditionalFormatting>
  <conditionalFormatting sqref="A5:C5">
    <cfRule type="expression" priority="8" dxfId="3">
      <formula>INT($A5)=TODAY()</formula>
    </cfRule>
  </conditionalFormatting>
  <conditionalFormatting sqref="A6:C6">
    <cfRule type="expression" priority="9" dxfId="3">
      <formula>INT($A6)=TODAY()</formula>
    </cfRule>
  </conditionalFormatting>
  <conditionalFormatting sqref="A7:C7">
    <cfRule type="expression" priority="10" dxfId="3">
      <formula>INT($A7)=TODAY()</formula>
    </cfRule>
  </conditionalFormatting>
  <conditionalFormatting sqref="A8:C8">
    <cfRule type="expression" priority="11" dxfId="3">
      <formula>INT($A8)=TODAY()</formula>
    </cfRule>
  </conditionalFormatting>
  <conditionalFormatting sqref="A9:C9">
    <cfRule type="expression" priority="12" dxfId="3">
      <formula>INT($A9)=TODAY()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Cara pakai di Excel atau Google Spreadsheet</t>
        </is>
      </c>
      <c r="B1" s="61" t="n"/>
      <c r="C1" s="61" t="n"/>
      <c r="D1" s="61" t="n"/>
      <c r="E1" s="61" t="n"/>
      <c r="F1" s="62" t="n"/>
    </row>
    <row r="3" ht="20" customHeight="1">
      <c r="A3" s="2" t="inlineStr">
        <is>
          <t>Unggah docs/gantt-minggu-6-12.xlsx ke Google Drive, lalu Buka dengan → Google Spreadsheet.</t>
        </is>
      </c>
      <c r="B3" s="61" t="n"/>
      <c r="C3" s="61" t="n"/>
      <c r="D3" s="61" t="n"/>
      <c r="E3" s="61" t="n"/>
      <c r="F3" s="62" t="n"/>
    </row>
    <row r="4" ht="20" customHeight="1">
      <c r="A4" s="2" t="inlineStr">
        <is>
          <t>Tab Gantt minggu = ringkas per minggu. Tab Gantt harian = batang per tanggal. Tab Kalender = daftar per hari.</t>
        </is>
      </c>
      <c r="B4" s="61" t="n"/>
      <c r="C4" s="61" t="n"/>
      <c r="D4" s="61" t="n"/>
      <c r="E4" s="61" t="n"/>
      <c r="F4" s="62" t="n"/>
    </row>
    <row r="5" ht="20" customHeight="1">
      <c r="A5" s="2" t="inlineStr">
        <is>
          <t>Di Kalender, filter kolom Hari = Selasa untuk lihat tanggal laporan saja.</t>
        </is>
      </c>
      <c r="B5" s="61" t="n"/>
      <c r="C5" s="61" t="n"/>
      <c r="D5" s="61" t="n"/>
      <c r="E5" s="61" t="n"/>
      <c r="F5" s="62" t="n"/>
    </row>
    <row r="6" ht="20" customHeight="1">
      <c r="A6" s="2" t="inlineStr">
        <is>
          <t>Di Gantt harian, geser ke kanan (kolom di-freeze sampai Status) untuk November.</t>
        </is>
      </c>
      <c r="B6" s="61" t="n"/>
      <c r="C6" s="61" t="n"/>
      <c r="D6" s="61" t="n"/>
      <c r="E6" s="61" t="n"/>
      <c r="F6" s="62" t="n"/>
    </row>
    <row r="7" ht="20" customHeight="1">
      <c r="A7" s="2" t="inlineStr">
        <is>
          <t>Print Kalender: landscape. Print Gantt harian: landscape, fit-to-width (kecil).</t>
        </is>
      </c>
      <c r="B7" s="61" t="n"/>
      <c r="C7" s="61" t="n"/>
      <c r="D7" s="61" t="n"/>
      <c r="E7" s="61" t="n"/>
      <c r="F7" s="62" t="n"/>
    </row>
    <row r="8" ht="20" customHeight="1">
      <c r="A8" s="2" t="inlineStr">
        <is>
          <t>Kuning = hari ini. Itu rumus TODAY(), jadi pindah sendiri tiap file dibuka di Microsoft Excel atau Google Spreadsheet. Preview di Drive/Cursor tidak menghitung rumus, jadi jangan dipakai untuk cek highlight.</t>
        </is>
      </c>
      <c r="B8" s="61" t="n"/>
      <c r="C8" s="61" t="n"/>
      <c r="D8" s="61" t="n"/>
      <c r="E8" s="61" t="n"/>
      <c r="F8" s="62" t="n"/>
    </row>
    <row r="9" ht="20" customHeight="1">
      <c r="A9" s="2" t="inlineStr">
        <is>
          <t>Kalau kuning tidak pindah di Sheets: File → Setelan spreadsheet → zona waktu (Asia/Jakarta), hitung ulang otomatis. Warna batang anggota (biru/hijau/kuning/ungu) tidak memakai rumus; jangan dihapus.</t>
        </is>
      </c>
      <c r="B9" s="61" t="n"/>
      <c r="C9" s="61" t="n"/>
      <c r="D9" s="61" t="n"/>
      <c r="E9" s="61" t="n"/>
      <c r="F9" s="62" t="n"/>
    </row>
    <row r="11">
      <c r="A11" s="70" t="inlineStr">
        <is>
          <t>Tanggal menurut file ini:</t>
        </is>
      </c>
      <c r="B11" s="82">
        <f>TODAY()</f>
        <v/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2026-10-02T01:14:09Z</dcterms:created>
  <dcterms:modified xsi:type="dcterms:W3CDTF">2026-10-04T15:33:37Z</dcterms:modified>
</cp:coreProperties>
</file>